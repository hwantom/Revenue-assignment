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e9bd5555444b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약" sheetId="1" r:id="R5b1afc4e9d8f4e74"/>
    <x:sheet xmlns:r="http://schemas.openxmlformats.org/officeDocument/2006/relationships" name="전표" sheetId="2" r:id="Rc17a0205199541b1"/>
    <x:sheet xmlns:r="http://schemas.openxmlformats.org/officeDocument/2006/relationships" name="상품" sheetId="3" r:id="R276214a698d34b7a"/>
    <x:sheet xmlns:r="http://schemas.openxmlformats.org/officeDocument/2006/relationships" name="상품마스터" sheetId="4" r:id="Re4d92389e67441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5">
    <x:font>
      <x:sz val="11"/>
      <x:name val="Carlito"/>
    </x:font>
    <x:font>
      <x:sz val="10"/>
      <x:color rgb="FF263238"/>
      <x:name val="NanumGothic"/>
    </x:font>
    <x:font>
      <x:b/>
      <x:sz val="15"/>
      <x:color rgb="FF263238"/>
      <x:name val="NanumGothic"/>
    </x:font>
    <x:font>
      <x:sz val="10"/>
      <x:color rgb="FF6B7280"/>
      <x:name val="NanumGothic"/>
    </x:font>
    <x:font>
      <x:b/>
      <x:sz val="10"/>
      <x:color rgb="FFFFFFFF"/>
      <x:name val="NanumGothic"/>
    </x:font>
  </x:fonts>
  <x:fills count="4">
    <x:fill>
      <x:patternFill patternType="none"/>
    </x:fill>
    <x:fill>
      <x:patternFill patternType="gray125"/>
    </x:fill>
    <x:fill>
      <x:patternFill patternType="solid">
        <x:fgColor rgb="FF263B4A"/>
      </x:patternFill>
    </x:fill>
    <x:fill>
      <x:patternFill patternType="solid">
        <x:fgColor rgb="FFF2F5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left"/>
    </x:xf>
    <x:xf numFmtId="0" fontId="1" fillId="0" borderId="0" xfId="0" applyNumberFormat="1" applyFont="1" applyFill="1" applyBorder="1" applyAlignment="1">
      <x:alignment horizontal="right"/>
    </x:xf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left"/>
    </x:xf>
    <x:xf numFmtId="0" fontId="1" fillId="3" borderId="0" xfId="0" applyNumberFormat="1" applyFont="1" applyFill="1" applyBorder="1" applyAlignment="1">
      <x:alignment horizontal="right"/>
    </x:xf>
    <x:xf numFmtId="200" fontId="1" fillId="3" borderId="0" xfId="0" applyNumberFormat="1" applyFont="1" applyFill="1" applyBorder="1" applyAlignment="1">
      <x:alignment horizontal="left"/>
    </x:xf>
    <x:xf numFmtId="200" fontId="1" fillId="0" borderId="0" xfId="0" applyNumberFormat="1" applyFont="1" applyFill="1" applyBorder="1" applyAlignment="1">
      <x:alignment horizontal="left"/>
    </x:xf>
    <x:xf numFmtId="201" fontId="1" fillId="3" borderId="0" xfId="0" applyNumberFormat="1" applyFont="1" applyFill="1" applyBorder="1" applyAlignment="1">
      <x:alignment horizontal="right"/>
    </x:xf>
    <x:xf numFmtId="201" fontId="1" fillId="0" borderId="0" xfId="0" applyNumberFormat="1" applyFont="1" applyFill="1" applyBorder="1" applyAlignment="1">
      <x:alignment horizontal="right"/>
    </x:xf>
  </x:cellXfs>
  <x:cellStyles count="1">
    <x:cellStyle name="Normal" xfId="0"/>
  </x:cellStyles>
  <x:dxfs count="1">
    <x:dxf>
      <x:font>
        <x:color rgb="FFB91C1C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98016c894e485d" /><Relationship Type="http://schemas.openxmlformats.org/officeDocument/2006/relationships/theme" Target="/xl/theme/theme1.xml" Id="R79dcbd32bd524b39" /><Relationship Type="http://schemas.openxmlformats.org/officeDocument/2006/relationships/sharedStrings" Target="/xl/sharedStrings.xml" Id="R16ba860f5a0e42ef" /><Relationship Type="http://schemas.openxmlformats.org/officeDocument/2006/relationships/worksheet" Target="/xl/worksheets/sheet1.xml" Id="R5b1afc4e9d8f4e74" /><Relationship Type="http://schemas.openxmlformats.org/officeDocument/2006/relationships/worksheet" Target="/xl/worksheets/sheet2.xml" Id="Rc17a0205199541b1" /><Relationship Type="http://schemas.openxmlformats.org/officeDocument/2006/relationships/worksheet" Target="/xl/worksheets/sheet3.xml" Id="R276214a698d34b7a" /><Relationship Type="http://schemas.openxmlformats.org/officeDocument/2006/relationships/worksheet" Target="/xl/worksheets/sheet4.xml" Id="Re4d92389e6744110" /></Relationships>
</file>

<file path=xl/tables/table1.xml><?xml version="1.0" encoding="utf-8"?>
<x:table xmlns:x="http://schemas.openxmlformats.org/spreadsheetml/2006/main" id="1" name="TData1" displayName="TData1" ref="A5:C15" headerRowCount="1" totalsRowCount="0" totalsRowShown="0">
  <x:tableColumns count="3">
    <x:tableColumn id="1" name="지표"/>
    <x:tableColumn id="2" name="값"/>
    <x:tableColumn id="3" name="정의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Data2" displayName="TData2" ref="A5:P105" headerRowCount="1" totalsRowCount="0" totalsRowShown="0">
  <x:tableColumns count="16">
    <x:tableColumn id="1" name="receipt_id"/>
    <x:tableColumn id="2" name="date"/>
    <x:tableColumn id="3" name="time"/>
    <x:tableColumn id="4" name="store"/>
    <x:tableColumn id="5" name="payment_method"/>
    <x:tableColumn id="6" name="line_count"/>
    <x:tableColumn id="7" name="item_quantity"/>
    <x:tableColumn id="8" name="gross_amount"/>
    <x:tableColumn id="9" name="discount"/>
    <x:tableColumn id="10" name="receipt_amount"/>
    <x:tableColumn id="11" name="profile_id"/>
    <x:tableColumn id="12" name="source_file"/>
    <x:tableColumn id="13" name="cleaning_status"/>
    <x:tableColumn id="14" name="issue_codes"/>
    <x:tableColumn id="15" name="source_amount"/>
    <x:tableColumn id="16" name="amou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Data3" displayName="TData3" ref="A5:K225" headerRowCount="1" totalsRowCount="0" totalsRowShown="0">
  <x:tableColumns count="11">
    <x:tableColumn id="1" name="line_id"/>
    <x:tableColumn id="2" name="receipt_id"/>
    <x:tableColumn id="3" name="line_no"/>
    <x:tableColumn id="4" name="product_id"/>
    <x:tableColumn id="5" name="product_name"/>
    <x:tableColumn id="6" name="category"/>
    <x:tableColumn id="7" name="quantity"/>
    <x:tableColumn id="8" name="unit_price"/>
    <x:tableColumn id="9" name="gross_amount"/>
    <x:tableColumn id="10" name="discount"/>
    <x:tableColumn id="11" name="line_amoun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Data4" displayName="TData4" ref="A5:F25" headerRowCount="1" totalsRowCount="0" totalsRowShown="0">
  <x:tableColumns count="6">
    <x:tableColumn id="1" name="product_id"/>
    <x:tableColumn id="2" name="상품명"/>
    <x:tableColumn id="3" name="카테고리"/>
    <x:tableColumn id="4" name="단가(KRW)"/>
    <x:tableColumn id="5" name="영문 별칭"/>
    <x:tableColumn id="6" name="기타 별칭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a3fbeaebf034b9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81e936fa38a49e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c3e0539bac24f8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49fb5f682884f4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24" hidden="0" customWidth="1"/>
    <x:col min="3" max="3" width="46" hidden="0" customWidth="1"/>
  </x:cols>
  <x:sheetData>
    <x:row r="1">
      <x:c r="A1" s="1"/>
      <x:c r="B1" s="1"/>
      <x:c r="C1" s="1"/>
    </x:row>
    <x:row r="2">
      <x:c r="A2" s="2" t="str">
        <x:v>카페 온담 · 정제 데이터</x:v>
      </x:c>
      <x:c r="B2" s="1"/>
      <x:c r="C2" s="1"/>
    </x:row>
    <x:row r="3">
      <x:c r="A3" s="3" t="str">
        <x:v>교육용 가상 표본 | 2026.09.01–09.30 | 민승환 · 학번 미입력</x:v>
      </x:c>
      <x:c r="B3" s="1"/>
      <x:c r="C3" s="1"/>
    </x:row>
    <x:row r="4">
      <x:c r="A4" s="1"/>
      <x:c r="B4" s="1"/>
      <x:c r="C4" s="1"/>
    </x:row>
    <x:row r="5" ht="33" customHeight="1">
      <x:c r="A5" s="10" t="str">
        <x:v>지표</x:v>
      </x:c>
      <x:c r="B5" s="10" t="str">
        <x:v>값</x:v>
      </x:c>
      <x:c r="C5" s="10" t="str">
        <x:v>정의</x:v>
      </x:c>
    </x:row>
    <x:row r="6" ht="23" customHeight="1">
      <x:c r="A6" s="11" t="str">
        <x:v>총 결제매출</x:v>
      </x:c>
      <x:c r="B6" s="15" t="n">
        <x:f>SUM('전표'!J6:J105)</x:f>
        <x:v>1348600</x:v>
      </x:c>
      <x:c r="C6" s="11" t="str">
        <x:v>할인 후·부가세 포함</x:v>
      </x:c>
    </x:row>
    <x:row r="7" ht="23" customHeight="1">
      <x:c r="A7" s="4" t="str">
        <x:v>거래 건수</x:v>
      </x:c>
      <x:c r="B7" s="16" t="n">
        <x:f>COUNTA('전표'!A6:A105)</x:f>
        <x:v>100</x:v>
      </x:c>
      <x:c r="C7" s="4" t="str">
        <x:v>고유 전표 수</x:v>
      </x:c>
    </x:row>
    <x:row r="8" ht="23" customHeight="1">
      <x:c r="A8" s="11" t="str">
        <x:v>평균 객단가</x:v>
      </x:c>
      <x:c r="B8" s="15" t="n">
        <x:f>B6/B7</x:f>
        <x:v>13486</x:v>
      </x:c>
      <x:c r="C8" s="11" t="str">
        <x:v>총 결제매출 ÷ 거래 건수</x:v>
      </x:c>
    </x:row>
    <x:row r="9" ht="23" customHeight="1">
      <x:c r="A9" s="4" t="str">
        <x:v>상품 행 수</x:v>
      </x:c>
      <x:c r="B9" s="16" t="n">
        <x:f>COUNTA('상품'!A6:A225)</x:f>
        <x:v>220</x:v>
      </x:c>
      <x:c r="C9" s="4" t="str">
        <x:v>거래 수와 구분</x:v>
      </x:c>
    </x:row>
    <x:row r="10" ht="23" customHeight="1">
      <x:c r="A10" s="11" t="str">
        <x:v>판매 수량</x:v>
      </x:c>
      <x:c r="B10" s="15" t="n">
        <x:f>SUM('상품'!G6:G225)</x:f>
        <x:v>271</x:v>
      </x:c>
      <x:c r="C10" s="11" t="str">
        <x:v>상품 수량의 합</x:v>
      </x:c>
    </x:row>
    <x:row r="11" ht="23" customHeight="1">
      <x:c r="A11" s="4" t="str">
        <x:v>할인 전 금액</x:v>
      </x:c>
      <x:c r="B11" s="16" t="n">
        <x:f>SUM('상품'!I6:I225)</x:f>
        <x:v>1367500</x:v>
      </x:c>
      <x:c r="C11" s="4" t="str">
        <x:v>수량 × 단가의 합</x:v>
      </x:c>
    </x:row>
    <x:row r="12" ht="23" customHeight="1">
      <x:c r="A12" s="11" t="str">
        <x:v>총 할인금액</x:v>
      </x:c>
      <x:c r="B12" s="15" t="n">
        <x:f>SUM('상품'!J6:J225)</x:f>
        <x:v>18900</x:v>
      </x:c>
      <x:c r="C12" s="11" t="str">
        <x:v>품목별 할인 합</x:v>
      </x:c>
    </x:row>
    <x:row r="13" ht="23" customHeight="1">
      <x:c r="A13" s="4" t="str">
        <x:v>시간 미기재</x:v>
      </x:c>
      <x:c r="B13" s="16" t="n">
        <x:v>5</x:v>
      </x:c>
      <x:c r="C13" s="4" t="str">
        <x:v>시간대 분석에서만 제외</x:v>
      </x:c>
    </x:row>
    <x:row r="14" ht="23" customHeight="1">
      <x:c r="A14" s="11" t="str">
        <x:v>결제수단 미확인</x:v>
      </x:c>
      <x:c r="B14" s="15" t="n">
        <x:v>3</x:v>
      </x:c>
      <x:c r="C14" s="11" t="str">
        <x:v>미확인 그룹으로 유지</x:v>
      </x:c>
    </x:row>
    <x:row r="15" ht="23" customHeight="1">
      <x:c r="A15" s="4" t="str">
        <x:v>상품 종류</x:v>
      </x:c>
      <x:c r="B15" s="16" t="n">
        <x:v>20</x:v>
      </x:c>
      <x:c r="C15" s="4" t="str">
        <x:v>상품 마스터 기준</x:v>
      </x:c>
    </x:row>
  </x:sheetData>
  <x:pageMargins left="0.7" right="0.7" top="0.75" bottom="0.75" header="0.3" footer="0.3"/>
  <x:tableParts count="1">
    <x:tablePart xmlns:r="http://schemas.openxmlformats.org/officeDocument/2006/relationships" r:id="Rca3fbeaebf034b90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17" hidden="0" customWidth="1"/>
    <x:col min="3" max="3" width="13" hidden="0" customWidth="1"/>
    <x:col min="4" max="4" width="20" hidden="0" customWidth="1"/>
    <x:col min="5" max="5" width="21" hidden="0" customWidth="1"/>
    <x:col min="6" max="6" width="16" hidden="0" customWidth="1"/>
    <x:col min="7" max="7" width="18" hidden="0" customWidth="1"/>
    <x:col min="8" max="8" width="20" hidden="0" customWidth="1"/>
    <x:col min="9" max="9" width="18" hidden="0" customWidth="1"/>
    <x:col min="10" max="10" width="22" hidden="0" customWidth="1"/>
    <x:col min="11" max="11" width="17" hidden="0" customWidth="1"/>
    <x:col min="12" max="12" width="25" hidden="0" customWidth="1"/>
    <x:col min="13" max="13" width="32" hidden="0" customWidth="1"/>
    <x:col min="14" max="14" width="35" hidden="0" customWidth="1"/>
    <x:col min="15" max="15" width="22" hidden="0" customWidth="1"/>
    <x:col min="16" max="16" width="23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>
      <x:c r="A2" s="2" t="str">
        <x:v>정제 전표 · 거래 단위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>
      <x:c r="A3" s="3" t="str">
        <x:v>receipt_amount는 상품 합계 수식입니다. amount_difference는 원본 결제금액과의 차이입니다.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33" customHeight="1">
      <x:c r="A5" s="10" t="str">
        <x:v>receipt_id</x:v>
      </x:c>
      <x:c r="B5" s="10" t="str">
        <x:v>date</x:v>
      </x:c>
      <x:c r="C5" s="10" t="str">
        <x:v>time</x:v>
      </x:c>
      <x:c r="D5" s="10" t="str">
        <x:v>store</x:v>
      </x:c>
      <x:c r="E5" s="10" t="str">
        <x:v>payment_method</x:v>
      </x:c>
      <x:c r="F5" s="10" t="str">
        <x:v>line_count</x:v>
      </x:c>
      <x:c r="G5" s="10" t="str">
        <x:v>item_quantity</x:v>
      </x:c>
      <x:c r="H5" s="10" t="str">
        <x:v>gross_amount</x:v>
      </x:c>
      <x:c r="I5" s="10" t="str">
        <x:v>discount</x:v>
      </x:c>
      <x:c r="J5" s="10" t="str">
        <x:v>receipt_amount</x:v>
      </x:c>
      <x:c r="K5" s="10" t="str">
        <x:v>profile_id</x:v>
      </x:c>
      <x:c r="L5" s="10" t="str">
        <x:v>source_file</x:v>
      </x:c>
      <x:c r="M5" s="10" t="str">
        <x:v>cleaning_status</x:v>
      </x:c>
      <x:c r="N5" s="10" t="str">
        <x:v>issue_codes</x:v>
      </x:c>
      <x:c r="O5" s="10" t="str">
        <x:v>source_amount</x:v>
      </x:c>
      <x:c r="P5" s="10" t="str">
        <x:v>amount_difference</x:v>
      </x:c>
    </x:row>
    <x:row r="6" ht="23" customHeight="1">
      <x:c r="A6" s="11" t="str">
        <x:v>R001</x:v>
      </x:c>
      <x:c r="B6" s="13" t="d">
        <x:v>2026-09-01T00:00:00.000Z</x:v>
      </x:c>
      <x:c r="C6" s="11"/>
      <x:c r="D6" s="11" t="str">
        <x:v>카페 온담</x:v>
      </x:c>
      <x:c r="E6" s="11" t="str">
        <x:v>미확인</x:v>
      </x:c>
      <x:c r="F6" s="15" t="n">
        <x:f>COUNTIFS('상품'!$B$6:$B$225,A6)</x:f>
        <x:v>2</x:v>
      </x:c>
      <x:c r="G6" s="15" t="n">
        <x:f>SUMIFS('상품'!$G$6:$G$225,'상품'!$B$6:$B$225,A6)</x:f>
        <x:v>3</x:v>
      </x:c>
      <x:c r="H6" s="15" t="n">
        <x:f>SUMIFS('상품'!$I$6:$I$225,'상품'!$B$6:$B$225,A6)</x:f>
        <x:v>13500</x:v>
      </x:c>
      <x:c r="I6" s="15" t="n">
        <x:f>SUMIFS('상품'!$J$6:$J$225,'상품'!$B$6:$B$225,A6)</x:f>
        <x:v>0</x:v>
      </x:c>
      <x:c r="J6" s="15" t="n">
        <x:f>SUMIFS('상품'!$K$6:$K$225,'상품'!$B$6:$B$225,A6)</x:f>
        <x:v>13500</x:v>
      </x:c>
      <x:c r="K6" s="11" t="str">
        <x:v>POS_A</x:v>
      </x:c>
      <x:c r="L6" s="11" t="str">
        <x:v>receipts/R001.pdf</x:v>
      </x:c>
      <x:c r="M6" s="11" t="str">
        <x:v>정제완료_일부정보미확인</x:v>
      </x:c>
      <x:c r="N6" s="11" t="str">
        <x:v>MISSING_TIME;MISSING_PAYMENT</x:v>
      </x:c>
      <x:c r="O6" s="15" t="n">
        <x:v>13500</x:v>
      </x:c>
      <x:c r="P6" s="15" t="n">
        <x:f>J6-O6</x:f>
        <x:v>0</x:v>
      </x:c>
    </x:row>
    <x:row r="7" ht="23" customHeight="1">
      <x:c r="A7" s="4" t="str">
        <x:v>R002</x:v>
      </x:c>
      <x:c r="B7" s="14" t="d">
        <x:v>2026-09-02T00:00:00.000Z</x:v>
      </x:c>
      <x:c r="C7" s="4" t="str">
        <x:v>08:06</x:v>
      </x:c>
      <x:c r="D7" s="4" t="str">
        <x:v>카페 온담</x:v>
      </x:c>
      <x:c r="E7" s="4" t="str">
        <x:v>카드</x:v>
      </x:c>
      <x:c r="F7" s="16" t="n">
        <x:f>COUNTIFS('상품'!$B$6:$B$225,A7)</x:f>
        <x:v>3</x:v>
      </x:c>
      <x:c r="G7" s="16" t="n">
        <x:f>SUMIFS('상품'!$G$6:$G$225,'상품'!$B$6:$B$225,A7)</x:f>
        <x:v>4</x:v>
      </x:c>
      <x:c r="H7" s="16" t="n">
        <x:f>SUMIFS('상품'!$I$6:$I$225,'상품'!$B$6:$B$225,A7)</x:f>
        <x:v>20500</x:v>
      </x:c>
      <x:c r="I7" s="16" t="n">
        <x:f>SUMIFS('상품'!$J$6:$J$225,'상품'!$B$6:$B$225,A7)</x:f>
        <x:v>0</x:v>
      </x:c>
      <x:c r="J7" s="16" t="n">
        <x:f>SUMIFS('상품'!$K$6:$K$225,'상품'!$B$6:$B$225,A7)</x:f>
        <x:v>20500</x:v>
      </x:c>
      <x:c r="K7" s="4" t="str">
        <x:v>POS_B</x:v>
      </x:c>
      <x:c r="L7" s="4" t="str">
        <x:v>receipts/R002.pdf</x:v>
      </x:c>
      <x:c r="M7" s="4" t="str">
        <x:v>정제완료</x:v>
      </x:c>
      <x:c r="N7" s="4" t="str"/>
      <x:c r="O7" s="16" t="n">
        <x:v>20500</x:v>
      </x:c>
      <x:c r="P7" s="16" t="n">
        <x:f>J7-O7</x:f>
        <x:v>0</x:v>
      </x:c>
    </x:row>
    <x:row r="8" ht="23" customHeight="1">
      <x:c r="A8" s="11" t="str">
        <x:v>R003</x:v>
      </x:c>
      <x:c r="B8" s="13" t="d">
        <x:v>2026-09-02T00:00:00.000Z</x:v>
      </x:c>
      <x:c r="C8" s="11" t="str">
        <x:v>09:08</x:v>
      </x:c>
      <x:c r="D8" s="11" t="str">
        <x:v>카페 온담</x:v>
      </x:c>
      <x:c r="E8" s="11" t="str">
        <x:v>카드</x:v>
      </x:c>
      <x:c r="F8" s="15" t="n">
        <x:f>COUNTIFS('상품'!$B$6:$B$225,A8)</x:f>
        <x:v>2</x:v>
      </x:c>
      <x:c r="G8" s="15" t="n">
        <x:f>SUMIFS('상품'!$G$6:$G$225,'상품'!$B$6:$B$225,A8)</x:f>
        <x:v>2</x:v>
      </x:c>
      <x:c r="H8" s="15" t="n">
        <x:f>SUMIFS('상품'!$I$6:$I$225,'상품'!$B$6:$B$225,A8)</x:f>
        <x:v>11500</x:v>
      </x:c>
      <x:c r="I8" s="15" t="n">
        <x:f>SUMIFS('상품'!$J$6:$J$225,'상품'!$B$6:$B$225,A8)</x:f>
        <x:v>300</x:v>
      </x:c>
      <x:c r="J8" s="15" t="n">
        <x:f>SUMIFS('상품'!$K$6:$K$225,'상품'!$B$6:$B$225,A8)</x:f>
        <x:v>11200</x:v>
      </x:c>
      <x:c r="K8" s="11" t="str">
        <x:v>POS_C</x:v>
      </x:c>
      <x:c r="L8" s="11" t="str">
        <x:v>receipts/R003.pdf</x:v>
      </x:c>
      <x:c r="M8" s="11" t="str">
        <x:v>정제완료</x:v>
      </x:c>
      <x:c r="N8" s="11" t="str"/>
      <x:c r="O8" s="15" t="n">
        <x:v>11200</x:v>
      </x:c>
      <x:c r="P8" s="15" t="n">
        <x:f>J8-O8</x:f>
        <x:v>0</x:v>
      </x:c>
    </x:row>
    <x:row r="9" ht="23" customHeight="1">
      <x:c r="A9" s="4" t="str">
        <x:v>R004</x:v>
      </x:c>
      <x:c r="B9" s="14" t="d">
        <x:v>2026-09-02T00:00:00.000Z</x:v>
      </x:c>
      <x:c r="C9" s="4" t="str">
        <x:v>11:05</x:v>
      </x:c>
      <x:c r="D9" s="4" t="str">
        <x:v>카페 온담</x:v>
      </x:c>
      <x:c r="E9" s="4" t="str">
        <x:v>카드</x:v>
      </x:c>
      <x:c r="F9" s="16" t="n">
        <x:f>COUNTIFS('상품'!$B$6:$B$225,A9)</x:f>
        <x:v>4</x:v>
      </x:c>
      <x:c r="G9" s="16" t="n">
        <x:f>SUMIFS('상품'!$G$6:$G$225,'상품'!$B$6:$B$225,A9)</x:f>
        <x:v>5</x:v>
      </x:c>
      <x:c r="H9" s="16" t="n">
        <x:f>SUMIFS('상품'!$I$6:$I$225,'상품'!$B$6:$B$225,A9)</x:f>
        <x:v>27600</x:v>
      </x:c>
      <x:c r="I9" s="16" t="n">
        <x:f>SUMIFS('상품'!$J$6:$J$225,'상품'!$B$6:$B$225,A9)</x:f>
        <x:v>1000</x:v>
      </x:c>
      <x:c r="J9" s="16" t="n">
        <x:f>SUMIFS('상품'!$K$6:$K$225,'상품'!$B$6:$B$225,A9)</x:f>
        <x:v>26600</x:v>
      </x:c>
      <x:c r="K9" s="4" t="str">
        <x:v>POS_D</x:v>
      </x:c>
      <x:c r="L9" s="4" t="str">
        <x:v>receipts/R004.pdf</x:v>
      </x:c>
      <x:c r="M9" s="4" t="str">
        <x:v>정제완료</x:v>
      </x:c>
      <x:c r="N9" s="4" t="str"/>
      <x:c r="O9" s="16" t="n">
        <x:v>26600</x:v>
      </x:c>
      <x:c r="P9" s="16" t="n">
        <x:f>J9-O9</x:f>
        <x:v>0</x:v>
      </x:c>
    </x:row>
    <x:row r="10" ht="23" customHeight="1">
      <x:c r="A10" s="11" t="str">
        <x:v>R005</x:v>
      </x:c>
      <x:c r="B10" s="13" t="d">
        <x:v>2026-09-02T00:00:00.000Z</x:v>
      </x:c>
      <x:c r="C10" s="11" t="str">
        <x:v>11:53</x:v>
      </x:c>
      <x:c r="D10" s="11" t="str">
        <x:v>카페 온담</x:v>
      </x:c>
      <x:c r="E10" s="11" t="str">
        <x:v>카드</x:v>
      </x:c>
      <x:c r="F10" s="15" t="n">
        <x:f>COUNTIFS('상품'!$B$6:$B$225,A10)</x:f>
        <x:v>1</x:v>
      </x:c>
      <x:c r="G10" s="15" t="n">
        <x:f>SUMIFS('상품'!$G$6:$G$225,'상품'!$B$6:$B$225,A10)</x:f>
        <x:v>2</x:v>
      </x:c>
      <x:c r="H10" s="15" t="n">
        <x:f>SUMIFS('상품'!$I$6:$I$225,'상품'!$B$6:$B$225,A10)</x:f>
        <x:v>9000</x:v>
      </x:c>
      <x:c r="I10" s="15" t="n">
        <x:f>SUMIFS('상품'!$J$6:$J$225,'상품'!$B$6:$B$225,A10)</x:f>
        <x:v>0</x:v>
      </x:c>
      <x:c r="J10" s="15" t="n">
        <x:f>SUMIFS('상품'!$K$6:$K$225,'상품'!$B$6:$B$225,A10)</x:f>
        <x:v>9000</x:v>
      </x:c>
      <x:c r="K10" s="11" t="str">
        <x:v>POS_E</x:v>
      </x:c>
      <x:c r="L10" s="11" t="str">
        <x:v>receipts/R005.pdf</x:v>
      </x:c>
      <x:c r="M10" s="11" t="str">
        <x:v>정제완료</x:v>
      </x:c>
      <x:c r="N10" s="11" t="str"/>
      <x:c r="O10" s="15" t="n">
        <x:v>9000</x:v>
      </x:c>
      <x:c r="P10" s="15" t="n">
        <x:f>J10-O10</x:f>
        <x:v>0</x:v>
      </x:c>
    </x:row>
    <x:row r="11" ht="23" customHeight="1">
      <x:c r="A11" s="4" t="str">
        <x:v>R006</x:v>
      </x:c>
      <x:c r="B11" s="14" t="d">
        <x:v>2026-09-02T00:00:00.000Z</x:v>
      </x:c>
      <x:c r="C11" s="4" t="str">
        <x:v>13:29</x:v>
      </x:c>
      <x:c r="D11" s="4" t="str">
        <x:v>카페 온담</x:v>
      </x:c>
      <x:c r="E11" s="4" t="str">
        <x:v>카드</x:v>
      </x:c>
      <x:c r="F11" s="16" t="n">
        <x:f>COUNTIFS('상품'!$B$6:$B$225,A11)</x:f>
        <x:v>1</x:v>
      </x:c>
      <x:c r="G11" s="16" t="n">
        <x:f>SUMIFS('상품'!$G$6:$G$225,'상품'!$B$6:$B$225,A11)</x:f>
        <x:v>1</x:v>
      </x:c>
      <x:c r="H11" s="16" t="n">
        <x:f>SUMIFS('상품'!$I$6:$I$225,'상품'!$B$6:$B$225,A11)</x:f>
        <x:v>4000</x:v>
      </x:c>
      <x:c r="I11" s="16" t="n">
        <x:f>SUMIFS('상품'!$J$6:$J$225,'상품'!$B$6:$B$225,A11)</x:f>
        <x:v>300</x:v>
      </x:c>
      <x:c r="J11" s="16" t="n">
        <x:f>SUMIFS('상품'!$K$6:$K$225,'상품'!$B$6:$B$225,A11)</x:f>
        <x:v>3700</x:v>
      </x:c>
      <x:c r="K11" s="4" t="str">
        <x:v>POS_A</x:v>
      </x:c>
      <x:c r="L11" s="4" t="str">
        <x:v>receipts/R006.pdf</x:v>
      </x:c>
      <x:c r="M11" s="4" t="str">
        <x:v>정제완료</x:v>
      </x:c>
      <x:c r="N11" s="4" t="str"/>
      <x:c r="O11" s="16" t="n">
        <x:v>3700</x:v>
      </x:c>
      <x:c r="P11" s="16" t="n">
        <x:f>J11-O11</x:f>
        <x:v>0</x:v>
      </x:c>
    </x:row>
    <x:row r="12" ht="23" customHeight="1">
      <x:c r="A12" s="11" t="str">
        <x:v>R007</x:v>
      </x:c>
      <x:c r="B12" s="13" t="d">
        <x:v>2026-09-02T00:00:00.000Z</x:v>
      </x:c>
      <x:c r="C12" s="11" t="str">
        <x:v>14:48</x:v>
      </x:c>
      <x:c r="D12" s="11" t="str">
        <x:v>카페 온담</x:v>
      </x:c>
      <x:c r="E12" s="11" t="str">
        <x:v>카드</x:v>
      </x:c>
      <x:c r="F12" s="15" t="n">
        <x:f>COUNTIFS('상품'!$B$6:$B$225,A12)</x:f>
        <x:v>3</x:v>
      </x:c>
      <x:c r="G12" s="15" t="n">
        <x:f>SUMIFS('상품'!$G$6:$G$225,'상품'!$B$6:$B$225,A12)</x:f>
        <x:v>3</x:v>
      </x:c>
      <x:c r="H12" s="15" t="n">
        <x:f>SUMIFS('상품'!$I$6:$I$225,'상품'!$B$6:$B$225,A12)</x:f>
        <x:v>14200</x:v>
      </x:c>
      <x:c r="I12" s="15" t="n">
        <x:f>SUMIFS('상품'!$J$6:$J$225,'상품'!$B$6:$B$225,A12)</x:f>
        <x:v>0</x:v>
      </x:c>
      <x:c r="J12" s="15" t="n">
        <x:f>SUMIFS('상품'!$K$6:$K$225,'상품'!$B$6:$B$225,A12)</x:f>
        <x:v>14200</x:v>
      </x:c>
      <x:c r="K12" s="11" t="str">
        <x:v>POS_B</x:v>
      </x:c>
      <x:c r="L12" s="11" t="str">
        <x:v>receipts/R007.pdf</x:v>
      </x:c>
      <x:c r="M12" s="11" t="str">
        <x:v>정제완료</x:v>
      </x:c>
      <x:c r="N12" s="11" t="str"/>
      <x:c r="O12" s="15" t="n">
        <x:v>14200</x:v>
      </x:c>
      <x:c r="P12" s="15" t="n">
        <x:f>J12-O12</x:f>
        <x:v>0</x:v>
      </x:c>
    </x:row>
    <x:row r="13" ht="23" customHeight="1">
      <x:c r="A13" s="4" t="str">
        <x:v>R008</x:v>
      </x:c>
      <x:c r="B13" s="14" t="d">
        <x:v>2026-09-03T00:00:00.000Z</x:v>
      </x:c>
      <x:c r="C13" s="4" t="str">
        <x:v>12:45</x:v>
      </x:c>
      <x:c r="D13" s="4" t="str">
        <x:v>카페 온담</x:v>
      </x:c>
      <x:c r="E13" s="4" t="str">
        <x:v>카드</x:v>
      </x:c>
      <x:c r="F13" s="16" t="n">
        <x:f>COUNTIFS('상품'!$B$6:$B$225,A13)</x:f>
        <x:v>2</x:v>
      </x:c>
      <x:c r="G13" s="16" t="n">
        <x:f>SUMIFS('상품'!$G$6:$G$225,'상품'!$B$6:$B$225,A13)</x:f>
        <x:v>2</x:v>
      </x:c>
      <x:c r="H13" s="16" t="n">
        <x:f>SUMIFS('상품'!$I$6:$I$225,'상품'!$B$6:$B$225,A13)</x:f>
        <x:v>7600</x:v>
      </x:c>
      <x:c r="I13" s="16" t="n">
        <x:f>SUMIFS('상품'!$J$6:$J$225,'상품'!$B$6:$B$225,A13)</x:f>
        <x:v>0</x:v>
      </x:c>
      <x:c r="J13" s="16" t="n">
        <x:f>SUMIFS('상품'!$K$6:$K$225,'상품'!$B$6:$B$225,A13)</x:f>
        <x:v>7600</x:v>
      </x:c>
      <x:c r="K13" s="4" t="str">
        <x:v>POS_C</x:v>
      </x:c>
      <x:c r="L13" s="4" t="str">
        <x:v>receipts/R008.pdf</x:v>
      </x:c>
      <x:c r="M13" s="4" t="str">
        <x:v>정제완료</x:v>
      </x:c>
      <x:c r="N13" s="4" t="str"/>
      <x:c r="O13" s="16" t="n">
        <x:v>7600</x:v>
      </x:c>
      <x:c r="P13" s="16" t="n">
        <x:f>J13-O13</x:f>
        <x:v>0</x:v>
      </x:c>
    </x:row>
    <x:row r="14" ht="23" customHeight="1">
      <x:c r="A14" s="11" t="str">
        <x:v>R009</x:v>
      </x:c>
      <x:c r="B14" s="13" t="d">
        <x:v>2026-09-03T00:00:00.000Z</x:v>
      </x:c>
      <x:c r="C14" s="11" t="str">
        <x:v>13:57</x:v>
      </x:c>
      <x:c r="D14" s="11" t="str">
        <x:v>카페 온담</x:v>
      </x:c>
      <x:c r="E14" s="11" t="str">
        <x:v>간편결제</x:v>
      </x:c>
      <x:c r="F14" s="15" t="n">
        <x:f>COUNTIFS('상품'!$B$6:$B$225,A14)</x:f>
        <x:v>1</x:v>
      </x:c>
      <x:c r="G14" s="15" t="n">
        <x:f>SUMIFS('상품'!$G$6:$G$225,'상품'!$B$6:$B$225,A14)</x:f>
        <x:v>1</x:v>
      </x:c>
      <x:c r="H14" s="15" t="n">
        <x:f>SUMIFS('상품'!$I$6:$I$225,'상품'!$B$6:$B$225,A14)</x:f>
        <x:v>7500</x:v>
      </x:c>
      <x:c r="I14" s="15" t="n">
        <x:f>SUMIFS('상품'!$J$6:$J$225,'상품'!$B$6:$B$225,A14)</x:f>
        <x:v>0</x:v>
      </x:c>
      <x:c r="J14" s="15" t="n">
        <x:f>SUMIFS('상품'!$K$6:$K$225,'상품'!$B$6:$B$225,A14)</x:f>
        <x:v>7500</x:v>
      </x:c>
      <x:c r="K14" s="11" t="str">
        <x:v>POS_D</x:v>
      </x:c>
      <x:c r="L14" s="11" t="str">
        <x:v>receipts/R009.pdf</x:v>
      </x:c>
      <x:c r="M14" s="11" t="str">
        <x:v>정제완료</x:v>
      </x:c>
      <x:c r="N14" s="11" t="str"/>
      <x:c r="O14" s="15" t="n">
        <x:v>7500</x:v>
      </x:c>
      <x:c r="P14" s="15" t="n">
        <x:f>J14-O14</x:f>
        <x:v>0</x:v>
      </x:c>
    </x:row>
    <x:row r="15" ht="23" customHeight="1">
      <x:c r="A15" s="4" t="str">
        <x:v>R010</x:v>
      </x:c>
      <x:c r="B15" s="14" t="d">
        <x:v>2026-09-04T00:00:00.000Z</x:v>
      </x:c>
      <x:c r="C15" s="4" t="str">
        <x:v>12:49</x:v>
      </x:c>
      <x:c r="D15" s="4" t="str">
        <x:v>카페 온담</x:v>
      </x:c>
      <x:c r="E15" s="4" t="str">
        <x:v>카드</x:v>
      </x:c>
      <x:c r="F15" s="16" t="n">
        <x:f>COUNTIFS('상품'!$B$6:$B$225,A15)</x:f>
        <x:v>2</x:v>
      </x:c>
      <x:c r="G15" s="16" t="n">
        <x:f>SUMIFS('상품'!$G$6:$G$225,'상품'!$B$6:$B$225,A15)</x:f>
        <x:v>2</x:v>
      </x:c>
      <x:c r="H15" s="16" t="n">
        <x:f>SUMIFS('상품'!$I$6:$I$225,'상품'!$B$6:$B$225,A15)</x:f>
        <x:v>13500</x:v>
      </x:c>
      <x:c r="I15" s="16" t="n">
        <x:f>SUMIFS('상품'!$J$6:$J$225,'상품'!$B$6:$B$225,A15)</x:f>
        <x:v>0</x:v>
      </x:c>
      <x:c r="J15" s="16" t="n">
        <x:f>SUMIFS('상품'!$K$6:$K$225,'상품'!$B$6:$B$225,A15)</x:f>
        <x:v>13500</x:v>
      </x:c>
      <x:c r="K15" s="4" t="str">
        <x:v>POS_E</x:v>
      </x:c>
      <x:c r="L15" s="4" t="str">
        <x:v>receipts/R010.pdf</x:v>
      </x:c>
      <x:c r="M15" s="4" t="str">
        <x:v>정제완료</x:v>
      </x:c>
      <x:c r="N15" s="4" t="str"/>
      <x:c r="O15" s="16" t="n">
        <x:v>13500</x:v>
      </x:c>
      <x:c r="P15" s="16" t="n">
        <x:f>J15-O15</x:f>
        <x:v>0</x:v>
      </x:c>
    </x:row>
    <x:row r="16" ht="23" customHeight="1">
      <x:c r="A16" s="11" t="str">
        <x:v>R011</x:v>
      </x:c>
      <x:c r="B16" s="13" t="d">
        <x:v>2026-09-04T00:00:00.000Z</x:v>
      </x:c>
      <x:c r="C16" s="11" t="str">
        <x:v>13:39</x:v>
      </x:c>
      <x:c r="D16" s="11" t="str">
        <x:v>카페 온담</x:v>
      </x:c>
      <x:c r="E16" s="11" t="str">
        <x:v>간편결제</x:v>
      </x:c>
      <x:c r="F16" s="15" t="n">
        <x:f>COUNTIFS('상품'!$B$6:$B$225,A16)</x:f>
        <x:v>2</x:v>
      </x:c>
      <x:c r="G16" s="15" t="n">
        <x:f>SUMIFS('상품'!$G$6:$G$225,'상품'!$B$6:$B$225,A16)</x:f>
        <x:v>2</x:v>
      </x:c>
      <x:c r="H16" s="15" t="n">
        <x:f>SUMIFS('상품'!$I$6:$I$225,'상품'!$B$6:$B$225,A16)</x:f>
        <x:v>9000</x:v>
      </x:c>
      <x:c r="I16" s="15" t="n">
        <x:f>SUMIFS('상품'!$J$6:$J$225,'상품'!$B$6:$B$225,A16)</x:f>
        <x:v>0</x:v>
      </x:c>
      <x:c r="J16" s="15" t="n">
        <x:f>SUMIFS('상품'!$K$6:$K$225,'상품'!$B$6:$B$225,A16)</x:f>
        <x:v>9000</x:v>
      </x:c>
      <x:c r="K16" s="11" t="str">
        <x:v>POS_A</x:v>
      </x:c>
      <x:c r="L16" s="11" t="str">
        <x:v>receipts/R011.pdf</x:v>
      </x:c>
      <x:c r="M16" s="11" t="str">
        <x:v>정제완료</x:v>
      </x:c>
      <x:c r="N16" s="11" t="str"/>
      <x:c r="O16" s="15" t="n">
        <x:v>9000</x:v>
      </x:c>
      <x:c r="P16" s="15" t="n">
        <x:f>J16-O16</x:f>
        <x:v>0</x:v>
      </x:c>
    </x:row>
    <x:row r="17" ht="23" customHeight="1">
      <x:c r="A17" s="4" t="str">
        <x:v>R012</x:v>
      </x:c>
      <x:c r="B17" s="14" t="d">
        <x:v>2026-09-04T00:00:00.000Z</x:v>
      </x:c>
      <x:c r="C17" s="4" t="str">
        <x:v>13:41</x:v>
      </x:c>
      <x:c r="D17" s="4" t="str">
        <x:v>카페 온담</x:v>
      </x:c>
      <x:c r="E17" s="4" t="str">
        <x:v>카드</x:v>
      </x:c>
      <x:c r="F17" s="16" t="n">
        <x:f>COUNTIFS('상품'!$B$6:$B$225,A17)</x:f>
        <x:v>2</x:v>
      </x:c>
      <x:c r="G17" s="16" t="n">
        <x:f>SUMIFS('상품'!$G$6:$G$225,'상품'!$B$6:$B$225,A17)</x:f>
        <x:v>2</x:v>
      </x:c>
      <x:c r="H17" s="16" t="n">
        <x:f>SUMIFS('상품'!$I$6:$I$225,'상품'!$B$6:$B$225,A17)</x:f>
        <x:v>9000</x:v>
      </x:c>
      <x:c r="I17" s="16" t="n">
        <x:f>SUMIFS('상품'!$J$6:$J$225,'상품'!$B$6:$B$225,A17)</x:f>
        <x:v>0</x:v>
      </x:c>
      <x:c r="J17" s="16" t="n">
        <x:f>SUMIFS('상품'!$K$6:$K$225,'상품'!$B$6:$B$225,A17)</x:f>
        <x:v>9000</x:v>
      </x:c>
      <x:c r="K17" s="4" t="str">
        <x:v>POS_B</x:v>
      </x:c>
      <x:c r="L17" s="4" t="str">
        <x:v>receipts/R012.pdf</x:v>
      </x:c>
      <x:c r="M17" s="4" t="str">
        <x:v>정제완료</x:v>
      </x:c>
      <x:c r="N17" s="4" t="str"/>
      <x:c r="O17" s="16" t="n">
        <x:v>9000</x:v>
      </x:c>
      <x:c r="P17" s="16" t="n">
        <x:f>J17-O17</x:f>
        <x:v>0</x:v>
      </x:c>
    </x:row>
    <x:row r="18" ht="23" customHeight="1">
      <x:c r="A18" s="11" t="str">
        <x:v>R013</x:v>
      </x:c>
      <x:c r="B18" s="13" t="d">
        <x:v>2026-09-04T00:00:00.000Z</x:v>
      </x:c>
      <x:c r="C18" s="11" t="str">
        <x:v>14:30</x:v>
      </x:c>
      <x:c r="D18" s="11" t="str">
        <x:v>카페 온담</x:v>
      </x:c>
      <x:c r="E18" s="11" t="str">
        <x:v>간편결제</x:v>
      </x:c>
      <x:c r="F18" s="15" t="n">
        <x:f>COUNTIFS('상품'!$B$6:$B$225,A18)</x:f>
        <x:v>3</x:v>
      </x:c>
      <x:c r="G18" s="15" t="n">
        <x:f>SUMIFS('상품'!$G$6:$G$225,'상품'!$B$6:$B$225,A18)</x:f>
        <x:v>3</x:v>
      </x:c>
      <x:c r="H18" s="15" t="n">
        <x:f>SUMIFS('상품'!$I$6:$I$225,'상품'!$B$6:$B$225,A18)</x:f>
        <x:v>15000</x:v>
      </x:c>
      <x:c r="I18" s="15" t="n">
        <x:f>SUMIFS('상품'!$J$6:$J$225,'상품'!$B$6:$B$225,A18)</x:f>
        <x:v>0</x:v>
      </x:c>
      <x:c r="J18" s="15" t="n">
        <x:f>SUMIFS('상품'!$K$6:$K$225,'상품'!$B$6:$B$225,A18)</x:f>
        <x:v>15000</x:v>
      </x:c>
      <x:c r="K18" s="11" t="str">
        <x:v>POS_C</x:v>
      </x:c>
      <x:c r="L18" s="11" t="str">
        <x:v>receipts/R013.pdf</x:v>
      </x:c>
      <x:c r="M18" s="11" t="str">
        <x:v>정제완료</x:v>
      </x:c>
      <x:c r="N18" s="11" t="str"/>
      <x:c r="O18" s="15" t="n">
        <x:v>15000</x:v>
      </x:c>
      <x:c r="P18" s="15" t="n">
        <x:f>J18-O18</x:f>
        <x:v>0</x:v>
      </x:c>
    </x:row>
    <x:row r="19" ht="23" customHeight="1">
      <x:c r="A19" s="4" t="str">
        <x:v>R014</x:v>
      </x:c>
      <x:c r="B19" s="14" t="d">
        <x:v>2026-09-05T00:00:00.000Z</x:v>
      </x:c>
      <x:c r="C19" s="4" t="str">
        <x:v>12:31</x:v>
      </x:c>
      <x:c r="D19" s="4" t="str">
        <x:v>카페 온담</x:v>
      </x:c>
      <x:c r="E19" s="4" t="str">
        <x:v>현금</x:v>
      </x:c>
      <x:c r="F19" s="16" t="n">
        <x:f>COUNTIFS('상품'!$B$6:$B$225,A19)</x:f>
        <x:v>2</x:v>
      </x:c>
      <x:c r="G19" s="16" t="n">
        <x:f>SUMIFS('상품'!$G$6:$G$225,'상품'!$B$6:$B$225,A19)</x:f>
        <x:v>2</x:v>
      </x:c>
      <x:c r="H19" s="16" t="n">
        <x:f>SUMIFS('상품'!$I$6:$I$225,'상품'!$B$6:$B$225,A19)</x:f>
        <x:v>12000</x:v>
      </x:c>
      <x:c r="I19" s="16" t="n">
        <x:f>SUMIFS('상품'!$J$6:$J$225,'상품'!$B$6:$B$225,A19)</x:f>
        <x:v>0</x:v>
      </x:c>
      <x:c r="J19" s="16" t="n">
        <x:f>SUMIFS('상품'!$K$6:$K$225,'상품'!$B$6:$B$225,A19)</x:f>
        <x:v>12000</x:v>
      </x:c>
      <x:c r="K19" s="4" t="str">
        <x:v>POS_D</x:v>
      </x:c>
      <x:c r="L19" s="4" t="str">
        <x:v>receipts/R014.pdf</x:v>
      </x:c>
      <x:c r="M19" s="4" t="str">
        <x:v>정제완료</x:v>
      </x:c>
      <x:c r="N19" s="4" t="str"/>
      <x:c r="O19" s="16" t="n">
        <x:v>12000</x:v>
      </x:c>
      <x:c r="P19" s="16" t="n">
        <x:f>J19-O19</x:f>
        <x:v>0</x:v>
      </x:c>
    </x:row>
    <x:row r="20" ht="23" customHeight="1">
      <x:c r="A20" s="11" t="str">
        <x:v>R015</x:v>
      </x:c>
      <x:c r="B20" s="13" t="d">
        <x:v>2026-09-05T00:00:00.000Z</x:v>
      </x:c>
      <x:c r="C20" s="11" t="str">
        <x:v>13:35</x:v>
      </x:c>
      <x:c r="D20" s="11" t="str">
        <x:v>카페 온담</x:v>
      </x:c>
      <x:c r="E20" s="11" t="str">
        <x:v>카드</x:v>
      </x:c>
      <x:c r="F20" s="15" t="n">
        <x:f>COUNTIFS('상품'!$B$6:$B$225,A20)</x:f>
        <x:v>2</x:v>
      </x:c>
      <x:c r="G20" s="15" t="n">
        <x:f>SUMIFS('상품'!$G$6:$G$225,'상품'!$B$6:$B$225,A20)</x:f>
        <x:v>3</x:v>
      </x:c>
      <x:c r="H20" s="15" t="n">
        <x:f>SUMIFS('상품'!$I$6:$I$225,'상품'!$B$6:$B$225,A20)</x:f>
        <x:v>13500</x:v>
      </x:c>
      <x:c r="I20" s="15" t="n">
        <x:f>SUMIFS('상품'!$J$6:$J$225,'상품'!$B$6:$B$225,A20)</x:f>
        <x:v>0</x:v>
      </x:c>
      <x:c r="J20" s="15" t="n">
        <x:f>SUMIFS('상품'!$K$6:$K$225,'상품'!$B$6:$B$225,A20)</x:f>
        <x:v>13500</x:v>
      </x:c>
      <x:c r="K20" s="11" t="str">
        <x:v>POS_E</x:v>
      </x:c>
      <x:c r="L20" s="11" t="str">
        <x:v>receipts/R015.pdf</x:v>
      </x:c>
      <x:c r="M20" s="11" t="str">
        <x:v>정제완료</x:v>
      </x:c>
      <x:c r="N20" s="11" t="str"/>
      <x:c r="O20" s="15" t="n">
        <x:v>13500</x:v>
      </x:c>
      <x:c r="P20" s="15" t="n">
        <x:f>J20-O20</x:f>
        <x:v>0</x:v>
      </x:c>
    </x:row>
    <x:row r="21" ht="23" customHeight="1">
      <x:c r="A21" s="4" t="str">
        <x:v>R016</x:v>
      </x:c>
      <x:c r="B21" s="14" t="d">
        <x:v>2026-09-06T00:00:00.000Z</x:v>
      </x:c>
      <x:c r="C21" s="4" t="str">
        <x:v>14:20</x:v>
      </x:c>
      <x:c r="D21" s="4" t="str">
        <x:v>카페 온담</x:v>
      </x:c>
      <x:c r="E21" s="4" t="str">
        <x:v>카드</x:v>
      </x:c>
      <x:c r="F21" s="16" t="n">
        <x:f>COUNTIFS('상품'!$B$6:$B$225,A21)</x:f>
        <x:v>3</x:v>
      </x:c>
      <x:c r="G21" s="16" t="n">
        <x:f>SUMIFS('상품'!$G$6:$G$225,'상품'!$B$6:$B$225,A21)</x:f>
        <x:v>3</x:v>
      </x:c>
      <x:c r="H21" s="16" t="n">
        <x:f>SUMIFS('상품'!$I$6:$I$225,'상품'!$B$6:$B$225,A21)</x:f>
        <x:v>15500</x:v>
      </x:c>
      <x:c r="I21" s="16" t="n">
        <x:f>SUMIFS('상품'!$J$6:$J$225,'상품'!$B$6:$B$225,A21)</x:f>
        <x:v>0</x:v>
      </x:c>
      <x:c r="J21" s="16" t="n">
        <x:f>SUMIFS('상품'!$K$6:$K$225,'상품'!$B$6:$B$225,A21)</x:f>
        <x:v>15500</x:v>
      </x:c>
      <x:c r="K21" s="4" t="str">
        <x:v>POS_A</x:v>
      </x:c>
      <x:c r="L21" s="4" t="str">
        <x:v>receipts/R016.pdf</x:v>
      </x:c>
      <x:c r="M21" s="4" t="str">
        <x:v>정제완료</x:v>
      </x:c>
      <x:c r="N21" s="4" t="str"/>
      <x:c r="O21" s="16" t="n">
        <x:v>15500</x:v>
      </x:c>
      <x:c r="P21" s="16" t="n">
        <x:f>J21-O21</x:f>
        <x:v>0</x:v>
      </x:c>
    </x:row>
    <x:row r="22" ht="23" customHeight="1">
      <x:c r="A22" s="11" t="str">
        <x:v>R017</x:v>
      </x:c>
      <x:c r="B22" s="13" t="d">
        <x:v>2026-09-06T00:00:00.000Z</x:v>
      </x:c>
      <x:c r="C22" s="11" t="str">
        <x:v>14:33</x:v>
      </x:c>
      <x:c r="D22" s="11" t="str">
        <x:v>카페 온담</x:v>
      </x:c>
      <x:c r="E22" s="11" t="str">
        <x:v>현금</x:v>
      </x:c>
      <x:c r="F22" s="15" t="n">
        <x:f>COUNTIFS('상품'!$B$6:$B$225,A22)</x:f>
        <x:v>4</x:v>
      </x:c>
      <x:c r="G22" s="15" t="n">
        <x:f>SUMIFS('상품'!$G$6:$G$225,'상품'!$B$6:$B$225,A22)</x:f>
        <x:v>6</x:v>
      </x:c>
      <x:c r="H22" s="15" t="n">
        <x:f>SUMIFS('상품'!$I$6:$I$225,'상품'!$B$6:$B$225,A22)</x:f>
        <x:v>25400</x:v>
      </x:c>
      <x:c r="I22" s="15" t="n">
        <x:f>SUMIFS('상품'!$J$6:$J$225,'상품'!$B$6:$B$225,A22)</x:f>
        <x:v>0</x:v>
      </x:c>
      <x:c r="J22" s="15" t="n">
        <x:f>SUMIFS('상품'!$K$6:$K$225,'상품'!$B$6:$B$225,A22)</x:f>
        <x:v>25400</x:v>
      </x:c>
      <x:c r="K22" s="11" t="str">
        <x:v>POS_B</x:v>
      </x:c>
      <x:c r="L22" s="11" t="str">
        <x:v>receipts/R017.pdf</x:v>
      </x:c>
      <x:c r="M22" s="11" t="str">
        <x:v>정제완료</x:v>
      </x:c>
      <x:c r="N22" s="11" t="str"/>
      <x:c r="O22" s="15" t="n">
        <x:v>25400</x:v>
      </x:c>
      <x:c r="P22" s="15" t="n">
        <x:f>J22-O22</x:f>
        <x:v>0</x:v>
      </x:c>
    </x:row>
    <x:row r="23" ht="23" customHeight="1">
      <x:c r="A23" s="4" t="str">
        <x:v>R018</x:v>
      </x:c>
      <x:c r="B23" s="14" t="d">
        <x:v>2026-09-06T00:00:00.000Z</x:v>
      </x:c>
      <x:c r="C23" s="4" t="str">
        <x:v>17:24</x:v>
      </x:c>
      <x:c r="D23" s="4" t="str">
        <x:v>카페 온담</x:v>
      </x:c>
      <x:c r="E23" s="4" t="str">
        <x:v>간편결제</x:v>
      </x:c>
      <x:c r="F23" s="16" t="n">
        <x:f>COUNTIFS('상품'!$B$6:$B$225,A23)</x:f>
        <x:v>2</x:v>
      </x:c>
      <x:c r="G23" s="16" t="n">
        <x:f>SUMIFS('상품'!$G$6:$G$225,'상품'!$B$6:$B$225,A23)</x:f>
        <x:v>3</x:v>
      </x:c>
      <x:c r="H23" s="16" t="n">
        <x:f>SUMIFS('상품'!$I$6:$I$225,'상품'!$B$6:$B$225,A23)</x:f>
        <x:v>16500</x:v>
      </x:c>
      <x:c r="I23" s="16" t="n">
        <x:f>SUMIFS('상품'!$J$6:$J$225,'상품'!$B$6:$B$225,A23)</x:f>
        <x:v>0</x:v>
      </x:c>
      <x:c r="J23" s="16" t="n">
        <x:f>SUMIFS('상품'!$K$6:$K$225,'상품'!$B$6:$B$225,A23)</x:f>
        <x:v>16500</x:v>
      </x:c>
      <x:c r="K23" s="4" t="str">
        <x:v>POS_C</x:v>
      </x:c>
      <x:c r="L23" s="4" t="str">
        <x:v>receipts/R018.pdf</x:v>
      </x:c>
      <x:c r="M23" s="4" t="str">
        <x:v>정제완료</x:v>
      </x:c>
      <x:c r="N23" s="4" t="str"/>
      <x:c r="O23" s="16" t="n">
        <x:v>16500</x:v>
      </x:c>
      <x:c r="P23" s="16" t="n">
        <x:f>J23-O23</x:f>
        <x:v>0</x:v>
      </x:c>
    </x:row>
    <x:row r="24" ht="23" customHeight="1">
      <x:c r="A24" s="11" t="str">
        <x:v>R019</x:v>
      </x:c>
      <x:c r="B24" s="13" t="d">
        <x:v>2026-09-06T00:00:00.000Z</x:v>
      </x:c>
      <x:c r="C24" s="11" t="str">
        <x:v>20:12</x:v>
      </x:c>
      <x:c r="D24" s="11" t="str">
        <x:v>카페 온담</x:v>
      </x:c>
      <x:c r="E24" s="11" t="str">
        <x:v>간편결제</x:v>
      </x:c>
      <x:c r="F24" s="15" t="n">
        <x:f>COUNTIFS('상품'!$B$6:$B$225,A24)</x:f>
        <x:v>1</x:v>
      </x:c>
      <x:c r="G24" s="15" t="n">
        <x:f>SUMIFS('상품'!$G$6:$G$225,'상품'!$B$6:$B$225,A24)</x:f>
        <x:v>1</x:v>
      </x:c>
      <x:c r="H24" s="15" t="n">
        <x:f>SUMIFS('상품'!$I$6:$I$225,'상품'!$B$6:$B$225,A24)</x:f>
        <x:v>5500</x:v>
      </x:c>
      <x:c r="I24" s="15" t="n">
        <x:f>SUMIFS('상품'!$J$6:$J$225,'상품'!$B$6:$B$225,A24)</x:f>
        <x:v>0</x:v>
      </x:c>
      <x:c r="J24" s="15" t="n">
        <x:f>SUMIFS('상품'!$K$6:$K$225,'상품'!$B$6:$B$225,A24)</x:f>
        <x:v>5500</x:v>
      </x:c>
      <x:c r="K24" s="11" t="str">
        <x:v>POS_D</x:v>
      </x:c>
      <x:c r="L24" s="11" t="str">
        <x:v>receipts/R019.pdf</x:v>
      </x:c>
      <x:c r="M24" s="11" t="str">
        <x:v>정제완료</x:v>
      </x:c>
      <x:c r="N24" s="11" t="str"/>
      <x:c r="O24" s="15" t="n">
        <x:v>5500</x:v>
      </x:c>
      <x:c r="P24" s="15" t="n">
        <x:f>J24-O24</x:f>
        <x:v>0</x:v>
      </x:c>
    </x:row>
    <x:row r="25" ht="23" customHeight="1">
      <x:c r="A25" s="4" t="str">
        <x:v>R020</x:v>
      </x:c>
      <x:c r="B25" s="14" t="d">
        <x:v>2026-09-06T00:00:00.000Z</x:v>
      </x:c>
      <x:c r="C25" s="4" t="str">
        <x:v>20:44</x:v>
      </x:c>
      <x:c r="D25" s="4" t="str">
        <x:v>카페 온담</x:v>
      </x:c>
      <x:c r="E25" s="4" t="str">
        <x:v>카드</x:v>
      </x:c>
      <x:c r="F25" s="16" t="n">
        <x:f>COUNTIFS('상품'!$B$6:$B$225,A25)</x:f>
        <x:v>2</x:v>
      </x:c>
      <x:c r="G25" s="16" t="n">
        <x:f>SUMIFS('상품'!$G$6:$G$225,'상품'!$B$6:$B$225,A25)</x:f>
        <x:v>3</x:v>
      </x:c>
      <x:c r="H25" s="16" t="n">
        <x:f>SUMIFS('상품'!$I$6:$I$225,'상품'!$B$6:$B$225,A25)</x:f>
        <x:v>16500</x:v>
      </x:c>
      <x:c r="I25" s="16" t="n">
        <x:f>SUMIFS('상품'!$J$6:$J$225,'상품'!$B$6:$B$225,A25)</x:f>
        <x:v>0</x:v>
      </x:c>
      <x:c r="J25" s="16" t="n">
        <x:f>SUMIFS('상품'!$K$6:$K$225,'상품'!$B$6:$B$225,A25)</x:f>
        <x:v>16500</x:v>
      </x:c>
      <x:c r="K25" s="4" t="str">
        <x:v>POS_E</x:v>
      </x:c>
      <x:c r="L25" s="4" t="str">
        <x:v>receipts/R020.pdf</x:v>
      </x:c>
      <x:c r="M25" s="4" t="str">
        <x:v>정제완료</x:v>
      </x:c>
      <x:c r="N25" s="4" t="str"/>
      <x:c r="O25" s="16" t="n">
        <x:v>16500</x:v>
      </x:c>
      <x:c r="P25" s="16" t="n">
        <x:f>J25-O25</x:f>
        <x:v>0</x:v>
      </x:c>
    </x:row>
    <x:row r="26" ht="23" customHeight="1">
      <x:c r="A26" s="11" t="str">
        <x:v>R021</x:v>
      </x:c>
      <x:c r="B26" s="13" t="d">
        <x:v>2026-09-07T00:00:00.000Z</x:v>
      </x:c>
      <x:c r="C26" s="11" t="str">
        <x:v>11:04</x:v>
      </x:c>
      <x:c r="D26" s="11" t="str">
        <x:v>카페 온담</x:v>
      </x:c>
      <x:c r="E26" s="11" t="str">
        <x:v>현금</x:v>
      </x:c>
      <x:c r="F26" s="15" t="n">
        <x:f>COUNTIFS('상품'!$B$6:$B$225,A26)</x:f>
        <x:v>1</x:v>
      </x:c>
      <x:c r="G26" s="15" t="n">
        <x:f>SUMIFS('상품'!$G$6:$G$225,'상품'!$B$6:$B$225,A26)</x:f>
        <x:v>1</x:v>
      </x:c>
      <x:c r="H26" s="15" t="n">
        <x:f>SUMIFS('상품'!$I$6:$I$225,'상품'!$B$6:$B$225,A26)</x:f>
        <x:v>5500</x:v>
      </x:c>
      <x:c r="I26" s="15" t="n">
        <x:f>SUMIFS('상품'!$J$6:$J$225,'상품'!$B$6:$B$225,A26)</x:f>
        <x:v>0</x:v>
      </x:c>
      <x:c r="J26" s="15" t="n">
        <x:f>SUMIFS('상품'!$K$6:$K$225,'상품'!$B$6:$B$225,A26)</x:f>
        <x:v>5500</x:v>
      </x:c>
      <x:c r="K26" s="11" t="str">
        <x:v>POS_A</x:v>
      </x:c>
      <x:c r="L26" s="11" t="str">
        <x:v>receipts/R021.pdf</x:v>
      </x:c>
      <x:c r="M26" s="11" t="str">
        <x:v>정제완료</x:v>
      </x:c>
      <x:c r="N26" s="11" t="str"/>
      <x:c r="O26" s="15" t="n">
        <x:v>5500</x:v>
      </x:c>
      <x:c r="P26" s="15" t="n">
        <x:f>J26-O26</x:f>
        <x:v>0</x:v>
      </x:c>
    </x:row>
    <x:row r="27" ht="23" customHeight="1">
      <x:c r="A27" s="4" t="str">
        <x:v>R022</x:v>
      </x:c>
      <x:c r="B27" s="14" t="d">
        <x:v>2026-09-07T00:00:00.000Z</x:v>
      </x:c>
      <x:c r="C27" s="4"/>
      <x:c r="D27" s="4" t="str">
        <x:v>카페 온담</x:v>
      </x:c>
      <x:c r="E27" s="4" t="str">
        <x:v>카드</x:v>
      </x:c>
      <x:c r="F27" s="16" t="n">
        <x:f>COUNTIFS('상품'!$B$6:$B$225,A27)</x:f>
        <x:v>3</x:v>
      </x:c>
      <x:c r="G27" s="16" t="n">
        <x:f>SUMIFS('상품'!$G$6:$G$225,'상품'!$B$6:$B$225,A27)</x:f>
        <x:v>4</x:v>
      </x:c>
      <x:c r="H27" s="16" t="n">
        <x:f>SUMIFS('상품'!$I$6:$I$225,'상품'!$B$6:$B$225,A27)</x:f>
        <x:v>21500</x:v>
      </x:c>
      <x:c r="I27" s="16" t="n">
        <x:f>SUMIFS('상품'!$J$6:$J$225,'상품'!$B$6:$B$225,A27)</x:f>
        <x:v>0</x:v>
      </x:c>
      <x:c r="J27" s="16" t="n">
        <x:f>SUMIFS('상품'!$K$6:$K$225,'상품'!$B$6:$B$225,A27)</x:f>
        <x:v>21500</x:v>
      </x:c>
      <x:c r="K27" s="4" t="str">
        <x:v>POS_B</x:v>
      </x:c>
      <x:c r="L27" s="4" t="str">
        <x:v>receipts/R022.pdf</x:v>
      </x:c>
      <x:c r="M27" s="4" t="str">
        <x:v>정제완료_일부정보미확인</x:v>
      </x:c>
      <x:c r="N27" s="4" t="str">
        <x:v>MISSING_TIME</x:v>
      </x:c>
      <x:c r="O27" s="16" t="n">
        <x:v>21500</x:v>
      </x:c>
      <x:c r="P27" s="16" t="n">
        <x:f>J27-O27</x:f>
        <x:v>0</x:v>
      </x:c>
    </x:row>
    <x:row r="28" ht="23" customHeight="1">
      <x:c r="A28" s="11" t="str">
        <x:v>R023</x:v>
      </x:c>
      <x:c r="B28" s="13" t="d">
        <x:v>2026-09-07T00:00:00.000Z</x:v>
      </x:c>
      <x:c r="C28" s="11" t="str">
        <x:v>13:38</x:v>
      </x:c>
      <x:c r="D28" s="11" t="str">
        <x:v>카페 온담</x:v>
      </x:c>
      <x:c r="E28" s="11" t="str">
        <x:v>카드</x:v>
      </x:c>
      <x:c r="F28" s="15" t="n">
        <x:f>COUNTIFS('상품'!$B$6:$B$225,A28)</x:f>
        <x:v>1</x:v>
      </x:c>
      <x:c r="G28" s="15" t="n">
        <x:f>SUMIFS('상품'!$G$6:$G$225,'상품'!$B$6:$B$225,A28)</x:f>
        <x:v>1</x:v>
      </x:c>
      <x:c r="H28" s="15" t="n">
        <x:f>SUMIFS('상품'!$I$6:$I$225,'상품'!$B$6:$B$225,A28)</x:f>
        <x:v>5000</x:v>
      </x:c>
      <x:c r="I28" s="15" t="n">
        <x:f>SUMIFS('상품'!$J$6:$J$225,'상품'!$B$6:$B$225,A28)</x:f>
        <x:v>500</x:v>
      </x:c>
      <x:c r="J28" s="15" t="n">
        <x:f>SUMIFS('상품'!$K$6:$K$225,'상품'!$B$6:$B$225,A28)</x:f>
        <x:v>4500</x:v>
      </x:c>
      <x:c r="K28" s="11" t="str">
        <x:v>POS_C</x:v>
      </x:c>
      <x:c r="L28" s="11" t="str">
        <x:v>receipts/R023.pdf</x:v>
      </x:c>
      <x:c r="M28" s="11" t="str">
        <x:v>정제완료</x:v>
      </x:c>
      <x:c r="N28" s="11" t="str"/>
      <x:c r="O28" s="15" t="n">
        <x:v>4500</x:v>
      </x:c>
      <x:c r="P28" s="15" t="n">
        <x:f>J28-O28</x:f>
        <x:v>0</x:v>
      </x:c>
    </x:row>
    <x:row r="29" ht="23" customHeight="1">
      <x:c r="A29" s="4" t="str">
        <x:v>R024</x:v>
      </x:c>
      <x:c r="B29" s="14" t="d">
        <x:v>2026-09-07T00:00:00.000Z</x:v>
      </x:c>
      <x:c r="C29" s="4" t="str">
        <x:v>15:08</x:v>
      </x:c>
      <x:c r="D29" s="4" t="str">
        <x:v>카페 온담</x:v>
      </x:c>
      <x:c r="E29" s="4" t="str">
        <x:v>카드</x:v>
      </x:c>
      <x:c r="F29" s="16" t="n">
        <x:f>COUNTIFS('상품'!$B$6:$B$225,A29)</x:f>
        <x:v>2</x:v>
      </x:c>
      <x:c r="G29" s="16" t="n">
        <x:f>SUMIFS('상품'!$G$6:$G$225,'상품'!$B$6:$B$225,A29)</x:f>
        <x:v>3</x:v>
      </x:c>
      <x:c r="H29" s="16" t="n">
        <x:f>SUMIFS('상품'!$I$6:$I$225,'상품'!$B$6:$B$225,A29)</x:f>
        <x:v>10100</x:v>
      </x:c>
      <x:c r="I29" s="16" t="n">
        <x:f>SUMIFS('상품'!$J$6:$J$225,'상품'!$B$6:$B$225,A29)</x:f>
        <x:v>0</x:v>
      </x:c>
      <x:c r="J29" s="16" t="n">
        <x:f>SUMIFS('상품'!$K$6:$K$225,'상품'!$B$6:$B$225,A29)</x:f>
        <x:v>10100</x:v>
      </x:c>
      <x:c r="K29" s="4" t="str">
        <x:v>POS_D</x:v>
      </x:c>
      <x:c r="L29" s="4" t="str">
        <x:v>receipts/R024.pdf</x:v>
      </x:c>
      <x:c r="M29" s="4" t="str">
        <x:v>정제완료</x:v>
      </x:c>
      <x:c r="N29" s="4" t="str"/>
      <x:c r="O29" s="16" t="n">
        <x:v>10100</x:v>
      </x:c>
      <x:c r="P29" s="16" t="n">
        <x:f>J29-O29</x:f>
        <x:v>0</x:v>
      </x:c>
    </x:row>
    <x:row r="30" ht="23" customHeight="1">
      <x:c r="A30" s="11" t="str">
        <x:v>R025</x:v>
      </x:c>
      <x:c r="B30" s="13" t="d">
        <x:v>2026-09-08T00:00:00.000Z</x:v>
      </x:c>
      <x:c r="C30" s="11" t="str">
        <x:v>08:31</x:v>
      </x:c>
      <x:c r="D30" s="11" t="str">
        <x:v>카페 온담</x:v>
      </x:c>
      <x:c r="E30" s="11" t="str">
        <x:v>간편결제</x:v>
      </x:c>
      <x:c r="F30" s="15" t="n">
        <x:f>COUNTIFS('상품'!$B$6:$B$225,A30)</x:f>
        <x:v>3</x:v>
      </x:c>
      <x:c r="G30" s="15" t="n">
        <x:f>SUMIFS('상품'!$G$6:$G$225,'상품'!$B$6:$B$225,A30)</x:f>
        <x:v>3</x:v>
      </x:c>
      <x:c r="H30" s="15" t="n">
        <x:f>SUMIFS('상품'!$I$6:$I$225,'상품'!$B$6:$B$225,A30)</x:f>
        <x:v>15000</x:v>
      </x:c>
      <x:c r="I30" s="15" t="n">
        <x:f>SUMIFS('상품'!$J$6:$J$225,'상품'!$B$6:$B$225,A30)</x:f>
        <x:v>0</x:v>
      </x:c>
      <x:c r="J30" s="15" t="n">
        <x:f>SUMIFS('상품'!$K$6:$K$225,'상품'!$B$6:$B$225,A30)</x:f>
        <x:v>15000</x:v>
      </x:c>
      <x:c r="K30" s="11" t="str">
        <x:v>POS_E</x:v>
      </x:c>
      <x:c r="L30" s="11" t="str">
        <x:v>receipts/R025.pdf</x:v>
      </x:c>
      <x:c r="M30" s="11" t="str">
        <x:v>정제완료</x:v>
      </x:c>
      <x:c r="N30" s="11" t="str"/>
      <x:c r="O30" s="15" t="n">
        <x:v>15000</x:v>
      </x:c>
      <x:c r="P30" s="15" t="n">
        <x:f>J30-O30</x:f>
        <x:v>0</x:v>
      </x:c>
    </x:row>
    <x:row r="31" ht="23" customHeight="1">
      <x:c r="A31" s="4" t="str">
        <x:v>R026</x:v>
      </x:c>
      <x:c r="B31" s="14" t="d">
        <x:v>2026-09-08T00:00:00.000Z</x:v>
      </x:c>
      <x:c r="C31" s="4" t="str">
        <x:v>13:37</x:v>
      </x:c>
      <x:c r="D31" s="4" t="str">
        <x:v>카페 온담</x:v>
      </x:c>
      <x:c r="E31" s="4" t="str">
        <x:v>간편결제</x:v>
      </x:c>
      <x:c r="F31" s="16" t="n">
        <x:f>COUNTIFS('상품'!$B$6:$B$225,A31)</x:f>
        <x:v>2</x:v>
      </x:c>
      <x:c r="G31" s="16" t="n">
        <x:f>SUMIFS('상품'!$G$6:$G$225,'상품'!$B$6:$B$225,A31)</x:f>
        <x:v>4</x:v>
      </x:c>
      <x:c r="H31" s="16" t="n">
        <x:f>SUMIFS('상품'!$I$6:$I$225,'상품'!$B$6:$B$225,A31)</x:f>
        <x:v>21000</x:v>
      </x:c>
      <x:c r="I31" s="16" t="n">
        <x:f>SUMIFS('상품'!$J$6:$J$225,'상품'!$B$6:$B$225,A31)</x:f>
        <x:v>0</x:v>
      </x:c>
      <x:c r="J31" s="16" t="n">
        <x:f>SUMIFS('상품'!$K$6:$K$225,'상품'!$B$6:$B$225,A31)</x:f>
        <x:v>21000</x:v>
      </x:c>
      <x:c r="K31" s="4" t="str">
        <x:v>POS_A</x:v>
      </x:c>
      <x:c r="L31" s="4" t="str">
        <x:v>receipts/R026.pdf</x:v>
      </x:c>
      <x:c r="M31" s="4" t="str">
        <x:v>정제완료</x:v>
      </x:c>
      <x:c r="N31" s="4" t="str"/>
      <x:c r="O31" s="16" t="n">
        <x:v>21000</x:v>
      </x:c>
      <x:c r="P31" s="16" t="n">
        <x:f>J31-O31</x:f>
        <x:v>0</x:v>
      </x:c>
    </x:row>
    <x:row r="32" ht="23" customHeight="1">
      <x:c r="A32" s="11" t="str">
        <x:v>R027</x:v>
      </x:c>
      <x:c r="B32" s="13" t="d">
        <x:v>2026-09-08T00:00:00.000Z</x:v>
      </x:c>
      <x:c r="C32" s="11" t="str">
        <x:v>13:37</x:v>
      </x:c>
      <x:c r="D32" s="11" t="str">
        <x:v>카페 온담</x:v>
      </x:c>
      <x:c r="E32" s="11" t="str">
        <x:v>카드</x:v>
      </x:c>
      <x:c r="F32" s="15" t="n">
        <x:f>COUNTIFS('상품'!$B$6:$B$225,A32)</x:f>
        <x:v>3</x:v>
      </x:c>
      <x:c r="G32" s="15" t="n">
        <x:f>SUMIFS('상품'!$G$6:$G$225,'상품'!$B$6:$B$225,A32)</x:f>
        <x:v>4</x:v>
      </x:c>
      <x:c r="H32" s="15" t="n">
        <x:f>SUMIFS('상품'!$I$6:$I$225,'상품'!$B$6:$B$225,A32)</x:f>
        <x:v>20500</x:v>
      </x:c>
      <x:c r="I32" s="15" t="n">
        <x:f>SUMIFS('상품'!$J$6:$J$225,'상품'!$B$6:$B$225,A32)</x:f>
        <x:v>0</x:v>
      </x:c>
      <x:c r="J32" s="15" t="n">
        <x:f>SUMIFS('상품'!$K$6:$K$225,'상품'!$B$6:$B$225,A32)</x:f>
        <x:v>20500</x:v>
      </x:c>
      <x:c r="K32" s="11" t="str">
        <x:v>POS_B</x:v>
      </x:c>
      <x:c r="L32" s="11" t="str">
        <x:v>receipts/R027.pdf</x:v>
      </x:c>
      <x:c r="M32" s="11" t="str">
        <x:v>정제완료</x:v>
      </x:c>
      <x:c r="N32" s="11" t="str"/>
      <x:c r="O32" s="15" t="n">
        <x:v>20500</x:v>
      </x:c>
      <x:c r="P32" s="15" t="n">
        <x:f>J32-O32</x:f>
        <x:v>0</x:v>
      </x:c>
    </x:row>
    <x:row r="33" ht="23" customHeight="1">
      <x:c r="A33" s="4" t="str">
        <x:v>R028</x:v>
      </x:c>
      <x:c r="B33" s="14" t="d">
        <x:v>2026-09-08T00:00:00.000Z</x:v>
      </x:c>
      <x:c r="C33" s="4" t="str">
        <x:v>18:14</x:v>
      </x:c>
      <x:c r="D33" s="4" t="str">
        <x:v>카페 온담</x:v>
      </x:c>
      <x:c r="E33" s="4" t="str">
        <x:v>카드</x:v>
      </x:c>
      <x:c r="F33" s="16" t="n">
        <x:f>COUNTIFS('상품'!$B$6:$B$225,A33)</x:f>
        <x:v>1</x:v>
      </x:c>
      <x:c r="G33" s="16" t="n">
        <x:f>SUMIFS('상품'!$G$6:$G$225,'상품'!$B$6:$B$225,A33)</x:f>
        <x:v>1</x:v>
      </x:c>
      <x:c r="H33" s="16" t="n">
        <x:f>SUMIFS('상품'!$I$6:$I$225,'상품'!$B$6:$B$225,A33)</x:f>
        <x:v>4500</x:v>
      </x:c>
      <x:c r="I33" s="16" t="n">
        <x:f>SUMIFS('상품'!$J$6:$J$225,'상품'!$B$6:$B$225,A33)</x:f>
        <x:v>0</x:v>
      </x:c>
      <x:c r="J33" s="16" t="n">
        <x:f>SUMIFS('상품'!$K$6:$K$225,'상품'!$B$6:$B$225,A33)</x:f>
        <x:v>4500</x:v>
      </x:c>
      <x:c r="K33" s="4" t="str">
        <x:v>POS_C</x:v>
      </x:c>
      <x:c r="L33" s="4" t="str">
        <x:v>receipts/R028.pdf</x:v>
      </x:c>
      <x:c r="M33" s="4" t="str">
        <x:v>정제완료</x:v>
      </x:c>
      <x:c r="N33" s="4" t="str"/>
      <x:c r="O33" s="16" t="n">
        <x:v>4500</x:v>
      </x:c>
      <x:c r="P33" s="16" t="n">
        <x:f>J33-O33</x:f>
        <x:v>0</x:v>
      </x:c>
    </x:row>
    <x:row r="34" ht="23" customHeight="1">
      <x:c r="A34" s="11" t="str">
        <x:v>R029</x:v>
      </x:c>
      <x:c r="B34" s="13" t="d">
        <x:v>2026-09-08T00:00:00.000Z</x:v>
      </x:c>
      <x:c r="C34" s="11" t="str">
        <x:v>18:20</x:v>
      </x:c>
      <x:c r="D34" s="11" t="str">
        <x:v>카페 온담</x:v>
      </x:c>
      <x:c r="E34" s="11" t="str">
        <x:v>카드</x:v>
      </x:c>
      <x:c r="F34" s="15" t="n">
        <x:f>COUNTIFS('상품'!$B$6:$B$225,A34)</x:f>
        <x:v>2</x:v>
      </x:c>
      <x:c r="G34" s="15" t="n">
        <x:f>SUMIFS('상품'!$G$6:$G$225,'상품'!$B$6:$B$225,A34)</x:f>
        <x:v>3</x:v>
      </x:c>
      <x:c r="H34" s="15" t="n">
        <x:f>SUMIFS('상품'!$I$6:$I$225,'상품'!$B$6:$B$225,A34)</x:f>
        <x:v>10600</x:v>
      </x:c>
      <x:c r="I34" s="15" t="n">
        <x:f>SUMIFS('상품'!$J$6:$J$225,'상품'!$B$6:$B$225,A34)</x:f>
        <x:v>0</x:v>
      </x:c>
      <x:c r="J34" s="15" t="n">
        <x:f>SUMIFS('상품'!$K$6:$K$225,'상품'!$B$6:$B$225,A34)</x:f>
        <x:v>10600</x:v>
      </x:c>
      <x:c r="K34" s="11" t="str">
        <x:v>POS_D</x:v>
      </x:c>
      <x:c r="L34" s="11" t="str">
        <x:v>receipts/R029.pdf</x:v>
      </x:c>
      <x:c r="M34" s="11" t="str">
        <x:v>정제완료</x:v>
      </x:c>
      <x:c r="N34" s="11" t="str"/>
      <x:c r="O34" s="15" t="n">
        <x:v>10600</x:v>
      </x:c>
      <x:c r="P34" s="15" t="n">
        <x:f>J34-O34</x:f>
        <x:v>0</x:v>
      </x:c>
    </x:row>
    <x:row r="35" ht="23" customHeight="1">
      <x:c r="A35" s="4" t="str">
        <x:v>R030</x:v>
      </x:c>
      <x:c r="B35" s="14" t="d">
        <x:v>2026-09-09T00:00:00.000Z</x:v>
      </x:c>
      <x:c r="C35" s="4" t="str">
        <x:v>11:45</x:v>
      </x:c>
      <x:c r="D35" s="4" t="str">
        <x:v>카페 온담</x:v>
      </x:c>
      <x:c r="E35" s="4" t="str">
        <x:v>간편결제</x:v>
      </x:c>
      <x:c r="F35" s="16" t="n">
        <x:f>COUNTIFS('상품'!$B$6:$B$225,A35)</x:f>
        <x:v>1</x:v>
      </x:c>
      <x:c r="G35" s="16" t="n">
        <x:f>SUMIFS('상품'!$G$6:$G$225,'상품'!$B$6:$B$225,A35)</x:f>
        <x:v>1</x:v>
      </x:c>
      <x:c r="H35" s="16" t="n">
        <x:f>SUMIFS('상품'!$I$6:$I$225,'상품'!$B$6:$B$225,A35)</x:f>
        <x:v>4500</x:v>
      </x:c>
      <x:c r="I35" s="16" t="n">
        <x:f>SUMIFS('상품'!$J$6:$J$225,'상품'!$B$6:$B$225,A35)</x:f>
        <x:v>0</x:v>
      </x:c>
      <x:c r="J35" s="16" t="n">
        <x:f>SUMIFS('상품'!$K$6:$K$225,'상품'!$B$6:$B$225,A35)</x:f>
        <x:v>4500</x:v>
      </x:c>
      <x:c r="K35" s="4" t="str">
        <x:v>POS_E</x:v>
      </x:c>
      <x:c r="L35" s="4" t="str">
        <x:v>receipts/R030.pdf</x:v>
      </x:c>
      <x:c r="M35" s="4" t="str">
        <x:v>정제완료</x:v>
      </x:c>
      <x:c r="N35" s="4" t="str"/>
      <x:c r="O35" s="16" t="n">
        <x:v>4500</x:v>
      </x:c>
      <x:c r="P35" s="16" t="n">
        <x:f>J35-O35</x:f>
        <x:v>0</x:v>
      </x:c>
    </x:row>
    <x:row r="36" ht="23" customHeight="1">
      <x:c r="A36" s="11" t="str">
        <x:v>R031</x:v>
      </x:c>
      <x:c r="B36" s="13" t="d">
        <x:v>2026-09-09T00:00:00.000Z</x:v>
      </x:c>
      <x:c r="C36" s="11" t="str">
        <x:v>12:59</x:v>
      </x:c>
      <x:c r="D36" s="11" t="str">
        <x:v>카페 온담</x:v>
      </x:c>
      <x:c r="E36" s="11" t="str">
        <x:v>카드</x:v>
      </x:c>
      <x:c r="F36" s="15" t="n">
        <x:f>COUNTIFS('상품'!$B$6:$B$225,A36)</x:f>
        <x:v>3</x:v>
      </x:c>
      <x:c r="G36" s="15" t="n">
        <x:f>SUMIFS('상품'!$G$6:$G$225,'상품'!$B$6:$B$225,A36)</x:f>
        <x:v>3</x:v>
      </x:c>
      <x:c r="H36" s="15" t="n">
        <x:f>SUMIFS('상품'!$I$6:$I$225,'상품'!$B$6:$B$225,A36)</x:f>
        <x:v>12000</x:v>
      </x:c>
      <x:c r="I36" s="15" t="n">
        <x:f>SUMIFS('상품'!$J$6:$J$225,'상품'!$B$6:$B$225,A36)</x:f>
        <x:v>1000</x:v>
      </x:c>
      <x:c r="J36" s="15" t="n">
        <x:f>SUMIFS('상품'!$K$6:$K$225,'상품'!$B$6:$B$225,A36)</x:f>
        <x:v>11000</x:v>
      </x:c>
      <x:c r="K36" s="11" t="str">
        <x:v>POS_A</x:v>
      </x:c>
      <x:c r="L36" s="11" t="str">
        <x:v>receipts/R031.pdf</x:v>
      </x:c>
      <x:c r="M36" s="11" t="str">
        <x:v>정제완료</x:v>
      </x:c>
      <x:c r="N36" s="11" t="str"/>
      <x:c r="O36" s="15" t="n">
        <x:v>11000</x:v>
      </x:c>
      <x:c r="P36" s="15" t="n">
        <x:f>J36-O36</x:f>
        <x:v>0</x:v>
      </x:c>
    </x:row>
    <x:row r="37" ht="23" customHeight="1">
      <x:c r="A37" s="4" t="str">
        <x:v>R032</x:v>
      </x:c>
      <x:c r="B37" s="14" t="d">
        <x:v>2026-09-09T00:00:00.000Z</x:v>
      </x:c>
      <x:c r="C37" s="4" t="str">
        <x:v>17:44</x:v>
      </x:c>
      <x:c r="D37" s="4" t="str">
        <x:v>카페 온담</x:v>
      </x:c>
      <x:c r="E37" s="4" t="str">
        <x:v>카드</x:v>
      </x:c>
      <x:c r="F37" s="16" t="n">
        <x:f>COUNTIFS('상품'!$B$6:$B$225,A37)</x:f>
        <x:v>1</x:v>
      </x:c>
      <x:c r="G37" s="16" t="n">
        <x:f>SUMIFS('상품'!$G$6:$G$225,'상품'!$B$6:$B$225,A37)</x:f>
        <x:v>1</x:v>
      </x:c>
      <x:c r="H37" s="16" t="n">
        <x:f>SUMIFS('상품'!$I$6:$I$225,'상품'!$B$6:$B$225,A37)</x:f>
        <x:v>5000</x:v>
      </x:c>
      <x:c r="I37" s="16" t="n">
        <x:f>SUMIFS('상품'!$J$6:$J$225,'상품'!$B$6:$B$225,A37)</x:f>
        <x:v>0</x:v>
      </x:c>
      <x:c r="J37" s="16" t="n">
        <x:f>SUMIFS('상품'!$K$6:$K$225,'상품'!$B$6:$B$225,A37)</x:f>
        <x:v>5000</x:v>
      </x:c>
      <x:c r="K37" s="4" t="str">
        <x:v>POS_B</x:v>
      </x:c>
      <x:c r="L37" s="4" t="str">
        <x:v>receipts/R032.pdf</x:v>
      </x:c>
      <x:c r="M37" s="4" t="str">
        <x:v>정제완료</x:v>
      </x:c>
      <x:c r="N37" s="4" t="str"/>
      <x:c r="O37" s="16" t="n">
        <x:v>5000</x:v>
      </x:c>
      <x:c r="P37" s="16" t="n">
        <x:f>J37-O37</x:f>
        <x:v>0</x:v>
      </x:c>
    </x:row>
    <x:row r="38" ht="23" customHeight="1">
      <x:c r="A38" s="11" t="str">
        <x:v>R033</x:v>
      </x:c>
      <x:c r="B38" s="13" t="d">
        <x:v>2026-09-10T00:00:00.000Z</x:v>
      </x:c>
      <x:c r="C38" s="11" t="str">
        <x:v>16:04</x:v>
      </x:c>
      <x:c r="D38" s="11" t="str">
        <x:v>카페 온담</x:v>
      </x:c>
      <x:c r="E38" s="11" t="str">
        <x:v>카드</x:v>
      </x:c>
      <x:c r="F38" s="15" t="n">
        <x:f>COUNTIFS('상품'!$B$6:$B$225,A38)</x:f>
        <x:v>1</x:v>
      </x:c>
      <x:c r="G38" s="15" t="n">
        <x:f>SUMIFS('상품'!$G$6:$G$225,'상품'!$B$6:$B$225,A38)</x:f>
        <x:v>2</x:v>
      </x:c>
      <x:c r="H38" s="15" t="n">
        <x:f>SUMIFS('상품'!$I$6:$I$225,'상품'!$B$6:$B$225,A38)</x:f>
        <x:v>9000</x:v>
      </x:c>
      <x:c r="I38" s="15" t="n">
        <x:f>SUMIFS('상품'!$J$6:$J$225,'상품'!$B$6:$B$225,A38)</x:f>
        <x:v>0</x:v>
      </x:c>
      <x:c r="J38" s="15" t="n">
        <x:f>SUMIFS('상품'!$K$6:$K$225,'상품'!$B$6:$B$225,A38)</x:f>
        <x:v>9000</x:v>
      </x:c>
      <x:c r="K38" s="11" t="str">
        <x:v>POS_C</x:v>
      </x:c>
      <x:c r="L38" s="11" t="str">
        <x:v>receipts/R033.pdf</x:v>
      </x:c>
      <x:c r="M38" s="11" t="str">
        <x:v>정제완료</x:v>
      </x:c>
      <x:c r="N38" s="11" t="str"/>
      <x:c r="O38" s="15" t="n">
        <x:v>9000</x:v>
      </x:c>
      <x:c r="P38" s="15" t="n">
        <x:f>J38-O38</x:f>
        <x:v>0</x:v>
      </x:c>
    </x:row>
    <x:row r="39" ht="23" customHeight="1">
      <x:c r="A39" s="4" t="str">
        <x:v>R034</x:v>
      </x:c>
      <x:c r="B39" s="14" t="d">
        <x:v>2026-09-10T00:00:00.000Z</x:v>
      </x:c>
      <x:c r="C39" s="4" t="str">
        <x:v>18:05</x:v>
      </x:c>
      <x:c r="D39" s="4" t="str">
        <x:v>카페 온담</x:v>
      </x:c>
      <x:c r="E39" s="4" t="str">
        <x:v>카드</x:v>
      </x:c>
      <x:c r="F39" s="16" t="n">
        <x:f>COUNTIFS('상품'!$B$6:$B$225,A39)</x:f>
        <x:v>3</x:v>
      </x:c>
      <x:c r="G39" s="16" t="n">
        <x:f>SUMIFS('상품'!$G$6:$G$225,'상품'!$B$6:$B$225,A39)</x:f>
        <x:v>4</x:v>
      </x:c>
      <x:c r="H39" s="16" t="n">
        <x:f>SUMIFS('상품'!$I$6:$I$225,'상품'!$B$6:$B$225,A39)</x:f>
        <x:v>19400</x:v>
      </x:c>
      <x:c r="I39" s="16" t="n">
        <x:f>SUMIFS('상품'!$J$6:$J$225,'상품'!$B$6:$B$225,A39)</x:f>
        <x:v>0</x:v>
      </x:c>
      <x:c r="J39" s="16" t="n">
        <x:f>SUMIFS('상품'!$K$6:$K$225,'상품'!$B$6:$B$225,A39)</x:f>
        <x:v>19400</x:v>
      </x:c>
      <x:c r="K39" s="4" t="str">
        <x:v>POS_D</x:v>
      </x:c>
      <x:c r="L39" s="4" t="str">
        <x:v>receipts/R034.pdf</x:v>
      </x:c>
      <x:c r="M39" s="4" t="str">
        <x:v>정제완료</x:v>
      </x:c>
      <x:c r="N39" s="4" t="str"/>
      <x:c r="O39" s="16" t="n">
        <x:v>19400</x:v>
      </x:c>
      <x:c r="P39" s="16" t="n">
        <x:f>J39-O39</x:f>
        <x:v>0</x:v>
      </x:c>
    </x:row>
    <x:row r="40" ht="23" customHeight="1">
      <x:c r="A40" s="11" t="str">
        <x:v>R035</x:v>
      </x:c>
      <x:c r="B40" s="13" t="d">
        <x:v>2026-09-11T00:00:00.000Z</x:v>
      </x:c>
      <x:c r="C40" s="11" t="str">
        <x:v>08:59</x:v>
      </x:c>
      <x:c r="D40" s="11" t="str">
        <x:v>카페 온담</x:v>
      </x:c>
      <x:c r="E40" s="11" t="str">
        <x:v>카드</x:v>
      </x:c>
      <x:c r="F40" s="15" t="n">
        <x:f>COUNTIFS('상품'!$B$6:$B$225,A40)</x:f>
        <x:v>3</x:v>
      </x:c>
      <x:c r="G40" s="15" t="n">
        <x:f>SUMIFS('상품'!$G$6:$G$225,'상품'!$B$6:$B$225,A40)</x:f>
        <x:v>4</x:v>
      </x:c>
      <x:c r="H40" s="15" t="n">
        <x:f>SUMIFS('상품'!$I$6:$I$225,'상품'!$B$6:$B$225,A40)</x:f>
        <x:v>19000</x:v>
      </x:c>
      <x:c r="I40" s="15" t="n">
        <x:f>SUMIFS('상품'!$J$6:$J$225,'상품'!$B$6:$B$225,A40)</x:f>
        <x:v>0</x:v>
      </x:c>
      <x:c r="J40" s="15" t="n">
        <x:f>SUMIFS('상품'!$K$6:$K$225,'상품'!$B$6:$B$225,A40)</x:f>
        <x:v>19000</x:v>
      </x:c>
      <x:c r="K40" s="11" t="str">
        <x:v>POS_E</x:v>
      </x:c>
      <x:c r="L40" s="11" t="str">
        <x:v>receipts/R035.pdf</x:v>
      </x:c>
      <x:c r="M40" s="11" t="str">
        <x:v>정제완료</x:v>
      </x:c>
      <x:c r="N40" s="11" t="str"/>
      <x:c r="O40" s="15" t="n">
        <x:v>19000</x:v>
      </x:c>
      <x:c r="P40" s="15" t="n">
        <x:f>J40-O40</x:f>
        <x:v>0</x:v>
      </x:c>
    </x:row>
    <x:row r="41" ht="23" customHeight="1">
      <x:c r="A41" s="4" t="str">
        <x:v>R036</x:v>
      </x:c>
      <x:c r="B41" s="14" t="d">
        <x:v>2026-09-11T00:00:00.000Z</x:v>
      </x:c>
      <x:c r="C41" s="4" t="str">
        <x:v>12:48</x:v>
      </x:c>
      <x:c r="D41" s="4" t="str">
        <x:v>카페 온담</x:v>
      </x:c>
      <x:c r="E41" s="4" t="str">
        <x:v>카드</x:v>
      </x:c>
      <x:c r="F41" s="16" t="n">
        <x:f>COUNTIFS('상품'!$B$6:$B$225,A41)</x:f>
        <x:v>2</x:v>
      </x:c>
      <x:c r="G41" s="16" t="n">
        <x:f>SUMIFS('상품'!$G$6:$G$225,'상품'!$B$6:$B$225,A41)</x:f>
        <x:v>3</x:v>
      </x:c>
      <x:c r="H41" s="16" t="n">
        <x:f>SUMIFS('상품'!$I$6:$I$225,'상품'!$B$6:$B$225,A41)</x:f>
        <x:v>16000</x:v>
      </x:c>
      <x:c r="I41" s="16" t="n">
        <x:f>SUMIFS('상품'!$J$6:$J$225,'상품'!$B$6:$B$225,A41)</x:f>
        <x:v>0</x:v>
      </x:c>
      <x:c r="J41" s="16" t="n">
        <x:f>SUMIFS('상품'!$K$6:$K$225,'상품'!$B$6:$B$225,A41)</x:f>
        <x:v>16000</x:v>
      </x:c>
      <x:c r="K41" s="4" t="str">
        <x:v>POS_A</x:v>
      </x:c>
      <x:c r="L41" s="4" t="str">
        <x:v>receipts/R036.pdf</x:v>
      </x:c>
      <x:c r="M41" s="4" t="str">
        <x:v>정제완료</x:v>
      </x:c>
      <x:c r="N41" s="4" t="str"/>
      <x:c r="O41" s="16" t="n">
        <x:v>16000</x:v>
      </x:c>
      <x:c r="P41" s="16" t="n">
        <x:f>J41-O41</x:f>
        <x:v>0</x:v>
      </x:c>
    </x:row>
    <x:row r="42" ht="23" customHeight="1">
      <x:c r="A42" s="11" t="str">
        <x:v>R037</x:v>
      </x:c>
      <x:c r="B42" s="13" t="d">
        <x:v>2026-09-11T00:00:00.000Z</x:v>
      </x:c>
      <x:c r="C42" s="11" t="str">
        <x:v>14:50</x:v>
      </x:c>
      <x:c r="D42" s="11" t="str">
        <x:v>카페 온담</x:v>
      </x:c>
      <x:c r="E42" s="11" t="str">
        <x:v>카드</x:v>
      </x:c>
      <x:c r="F42" s="15" t="n">
        <x:f>COUNTIFS('상품'!$B$6:$B$225,A42)</x:f>
        <x:v>1</x:v>
      </x:c>
      <x:c r="G42" s="15" t="n">
        <x:f>SUMIFS('상품'!$G$6:$G$225,'상품'!$B$6:$B$225,A42)</x:f>
        <x:v>2</x:v>
      </x:c>
      <x:c r="H42" s="15" t="n">
        <x:f>SUMIFS('상품'!$I$6:$I$225,'상품'!$B$6:$B$225,A42)</x:f>
        <x:v>11600</x:v>
      </x:c>
      <x:c r="I42" s="15" t="n">
        <x:f>SUMIFS('상품'!$J$6:$J$225,'상품'!$B$6:$B$225,A42)</x:f>
        <x:v>1000</x:v>
      </x:c>
      <x:c r="J42" s="15" t="n">
        <x:f>SUMIFS('상품'!$K$6:$K$225,'상품'!$B$6:$B$225,A42)</x:f>
        <x:v>10600</x:v>
      </x:c>
      <x:c r="K42" s="11" t="str">
        <x:v>POS_B</x:v>
      </x:c>
      <x:c r="L42" s="11" t="str">
        <x:v>receipts/R037.pdf</x:v>
      </x:c>
      <x:c r="M42" s="11" t="str">
        <x:v>정제완료</x:v>
      </x:c>
      <x:c r="N42" s="11" t="str"/>
      <x:c r="O42" s="15" t="n">
        <x:v>10600</x:v>
      </x:c>
      <x:c r="P42" s="15" t="n">
        <x:f>J42-O42</x:f>
        <x:v>0</x:v>
      </x:c>
    </x:row>
    <x:row r="43" ht="23" customHeight="1">
      <x:c r="A43" s="4" t="str">
        <x:v>R038</x:v>
      </x:c>
      <x:c r="B43" s="14" t="d">
        <x:v>2026-09-11T00:00:00.000Z</x:v>
      </x:c>
      <x:c r="C43" s="4" t="str">
        <x:v>17:02</x:v>
      </x:c>
      <x:c r="D43" s="4" t="str">
        <x:v>카페 온담</x:v>
      </x:c>
      <x:c r="E43" s="4" t="str">
        <x:v>미확인</x:v>
      </x:c>
      <x:c r="F43" s="16" t="n">
        <x:f>COUNTIFS('상품'!$B$6:$B$225,A43)</x:f>
        <x:v>1</x:v>
      </x:c>
      <x:c r="G43" s="16" t="n">
        <x:f>SUMIFS('상품'!$G$6:$G$225,'상품'!$B$6:$B$225,A43)</x:f>
        <x:v>2</x:v>
      </x:c>
      <x:c r="H43" s="16" t="n">
        <x:f>SUMIFS('상품'!$I$6:$I$225,'상품'!$B$6:$B$225,A43)</x:f>
        <x:v>12000</x:v>
      </x:c>
      <x:c r="I43" s="16" t="n">
        <x:f>SUMIFS('상품'!$J$6:$J$225,'상품'!$B$6:$B$225,A43)</x:f>
        <x:v>0</x:v>
      </x:c>
      <x:c r="J43" s="16" t="n">
        <x:f>SUMIFS('상품'!$K$6:$K$225,'상품'!$B$6:$B$225,A43)</x:f>
        <x:v>12000</x:v>
      </x:c>
      <x:c r="K43" s="4" t="str">
        <x:v>POS_C</x:v>
      </x:c>
      <x:c r="L43" s="4" t="str">
        <x:v>receipts/R038.pdf</x:v>
      </x:c>
      <x:c r="M43" s="4" t="str">
        <x:v>정제완료_일부정보미확인</x:v>
      </x:c>
      <x:c r="N43" s="4" t="str">
        <x:v>MISSING_PAYMENT</x:v>
      </x:c>
      <x:c r="O43" s="16" t="n">
        <x:v>12000</x:v>
      </x:c>
      <x:c r="P43" s="16" t="n">
        <x:f>J43-O43</x:f>
        <x:v>0</x:v>
      </x:c>
    </x:row>
    <x:row r="44" ht="23" customHeight="1">
      <x:c r="A44" s="11" t="str">
        <x:v>R039</x:v>
      </x:c>
      <x:c r="B44" s="13" t="d">
        <x:v>2026-09-12T00:00:00.000Z</x:v>
      </x:c>
      <x:c r="C44" s="11" t="str">
        <x:v>20:54</x:v>
      </x:c>
      <x:c r="D44" s="11" t="str">
        <x:v>카페 온담</x:v>
      </x:c>
      <x:c r="E44" s="11" t="str">
        <x:v>간편결제</x:v>
      </x:c>
      <x:c r="F44" s="15" t="n">
        <x:f>COUNTIFS('상품'!$B$6:$B$225,A44)</x:f>
        <x:v>3</x:v>
      </x:c>
      <x:c r="G44" s="15" t="n">
        <x:f>SUMIFS('상품'!$G$6:$G$225,'상품'!$B$6:$B$225,A44)</x:f>
        <x:v>6</x:v>
      </x:c>
      <x:c r="H44" s="15" t="n">
        <x:f>SUMIFS('상품'!$I$6:$I$225,'상품'!$B$6:$B$225,A44)</x:f>
        <x:v>27400</x:v>
      </x:c>
      <x:c r="I44" s="15" t="n">
        <x:f>SUMIFS('상품'!$J$6:$J$225,'상품'!$B$6:$B$225,A44)</x:f>
        <x:v>0</x:v>
      </x:c>
      <x:c r="J44" s="15" t="n">
        <x:f>SUMIFS('상품'!$K$6:$K$225,'상품'!$B$6:$B$225,A44)</x:f>
        <x:v>27400</x:v>
      </x:c>
      <x:c r="K44" s="11" t="str">
        <x:v>POS_D</x:v>
      </x:c>
      <x:c r="L44" s="11" t="str">
        <x:v>receipts/R039.pdf</x:v>
      </x:c>
      <x:c r="M44" s="11" t="str">
        <x:v>정제완료</x:v>
      </x:c>
      <x:c r="N44" s="11" t="str"/>
      <x:c r="O44" s="15" t="n">
        <x:v>27400</x:v>
      </x:c>
      <x:c r="P44" s="15" t="n">
        <x:f>J44-O44</x:f>
        <x:v>0</x:v>
      </x:c>
    </x:row>
    <x:row r="45" ht="23" customHeight="1">
      <x:c r="A45" s="4" t="str">
        <x:v>R040</x:v>
      </x:c>
      <x:c r="B45" s="14" t="d">
        <x:v>2026-09-13T00:00:00.000Z</x:v>
      </x:c>
      <x:c r="C45" s="4" t="str">
        <x:v>12:28</x:v>
      </x:c>
      <x:c r="D45" s="4" t="str">
        <x:v>카페 온담</x:v>
      </x:c>
      <x:c r="E45" s="4" t="str">
        <x:v>카드</x:v>
      </x:c>
      <x:c r="F45" s="16" t="n">
        <x:f>COUNTIFS('상품'!$B$6:$B$225,A45)</x:f>
        <x:v>1</x:v>
      </x:c>
      <x:c r="G45" s="16" t="n">
        <x:f>SUMIFS('상품'!$G$6:$G$225,'상품'!$B$6:$B$225,A45)</x:f>
        <x:v>1</x:v>
      </x:c>
      <x:c r="H45" s="16" t="n">
        <x:f>SUMIFS('상품'!$I$6:$I$225,'상품'!$B$6:$B$225,A45)</x:f>
        <x:v>5000</x:v>
      </x:c>
      <x:c r="I45" s="16" t="n">
        <x:f>SUMIFS('상품'!$J$6:$J$225,'상품'!$B$6:$B$225,A45)</x:f>
        <x:v>0</x:v>
      </x:c>
      <x:c r="J45" s="16" t="n">
        <x:f>SUMIFS('상품'!$K$6:$K$225,'상품'!$B$6:$B$225,A45)</x:f>
        <x:v>5000</x:v>
      </x:c>
      <x:c r="K45" s="4" t="str">
        <x:v>POS_E</x:v>
      </x:c>
      <x:c r="L45" s="4" t="str">
        <x:v>receipts/R040.pdf</x:v>
      </x:c>
      <x:c r="M45" s="4" t="str">
        <x:v>정제완료</x:v>
      </x:c>
      <x:c r="N45" s="4" t="str"/>
      <x:c r="O45" s="16" t="n">
        <x:v>5000</x:v>
      </x:c>
      <x:c r="P45" s="16" t="n">
        <x:f>J45-O45</x:f>
        <x:v>0</x:v>
      </x:c>
    </x:row>
    <x:row r="46" ht="23" customHeight="1">
      <x:c r="A46" s="11" t="str">
        <x:v>R041</x:v>
      </x:c>
      <x:c r="B46" s="13" t="d">
        <x:v>2026-09-13T00:00:00.000Z</x:v>
      </x:c>
      <x:c r="C46" s="11" t="str">
        <x:v>12:56</x:v>
      </x:c>
      <x:c r="D46" s="11" t="str">
        <x:v>카페 온담</x:v>
      </x:c>
      <x:c r="E46" s="11" t="str">
        <x:v>카드</x:v>
      </x:c>
      <x:c r="F46" s="15" t="n">
        <x:f>COUNTIFS('상품'!$B$6:$B$225,A46)</x:f>
        <x:v>1</x:v>
      </x:c>
      <x:c r="G46" s="15" t="n">
        <x:f>SUMIFS('상품'!$G$6:$G$225,'상품'!$B$6:$B$225,A46)</x:f>
        <x:v>1</x:v>
      </x:c>
      <x:c r="H46" s="15" t="n">
        <x:f>SUMIFS('상품'!$I$6:$I$225,'상품'!$B$6:$B$225,A46)</x:f>
        <x:v>5500</x:v>
      </x:c>
      <x:c r="I46" s="15" t="n">
        <x:f>SUMIFS('상품'!$J$6:$J$225,'상품'!$B$6:$B$225,A46)</x:f>
        <x:v>0</x:v>
      </x:c>
      <x:c r="J46" s="15" t="n">
        <x:f>SUMIFS('상품'!$K$6:$K$225,'상품'!$B$6:$B$225,A46)</x:f>
        <x:v>5500</x:v>
      </x:c>
      <x:c r="K46" s="11" t="str">
        <x:v>POS_A</x:v>
      </x:c>
      <x:c r="L46" s="11" t="str">
        <x:v>receipts/R041.pdf</x:v>
      </x:c>
      <x:c r="M46" s="11" t="str">
        <x:v>정제완료</x:v>
      </x:c>
      <x:c r="N46" s="11" t="str"/>
      <x:c r="O46" s="15" t="n">
        <x:v>5500</x:v>
      </x:c>
      <x:c r="P46" s="15" t="n">
        <x:f>J46-O46</x:f>
        <x:v>0</x:v>
      </x:c>
    </x:row>
    <x:row r="47" ht="23" customHeight="1">
      <x:c r="A47" s="4" t="str">
        <x:v>R042</x:v>
      </x:c>
      <x:c r="B47" s="14" t="d">
        <x:v>2026-09-13T00:00:00.000Z</x:v>
      </x:c>
      <x:c r="C47" s="4" t="str">
        <x:v>18:44</x:v>
      </x:c>
      <x:c r="D47" s="4" t="str">
        <x:v>카페 온담</x:v>
      </x:c>
      <x:c r="E47" s="4" t="str">
        <x:v>카드</x:v>
      </x:c>
      <x:c r="F47" s="16" t="n">
        <x:f>COUNTIFS('상품'!$B$6:$B$225,A47)</x:f>
        <x:v>3</x:v>
      </x:c>
      <x:c r="G47" s="16" t="n">
        <x:f>SUMIFS('상품'!$G$6:$G$225,'상품'!$B$6:$B$225,A47)</x:f>
        <x:v>3</x:v>
      </x:c>
      <x:c r="H47" s="16" t="n">
        <x:f>SUMIFS('상품'!$I$6:$I$225,'상품'!$B$6:$B$225,A47)</x:f>
        <x:v>15800</x:v>
      </x:c>
      <x:c r="I47" s="16" t="n">
        <x:f>SUMIFS('상품'!$J$6:$J$225,'상품'!$B$6:$B$225,A47)</x:f>
        <x:v>0</x:v>
      </x:c>
      <x:c r="J47" s="16" t="n">
        <x:f>SUMIFS('상품'!$K$6:$K$225,'상품'!$B$6:$B$225,A47)</x:f>
        <x:v>15800</x:v>
      </x:c>
      <x:c r="K47" s="4" t="str">
        <x:v>POS_B</x:v>
      </x:c>
      <x:c r="L47" s="4" t="str">
        <x:v>receipts/R042.pdf</x:v>
      </x:c>
      <x:c r="M47" s="4" t="str">
        <x:v>정제완료</x:v>
      </x:c>
      <x:c r="N47" s="4" t="str"/>
      <x:c r="O47" s="16" t="n">
        <x:v>15800</x:v>
      </x:c>
      <x:c r="P47" s="16" t="n">
        <x:f>J47-O47</x:f>
        <x:v>0</x:v>
      </x:c>
    </x:row>
    <x:row r="48" ht="23" customHeight="1">
      <x:c r="A48" s="11" t="str">
        <x:v>R043</x:v>
      </x:c>
      <x:c r="B48" s="13" t="d">
        <x:v>2026-09-13T00:00:00.000Z</x:v>
      </x:c>
      <x:c r="C48" s="11"/>
      <x:c r="D48" s="11" t="str">
        <x:v>카페 온담</x:v>
      </x:c>
      <x:c r="E48" s="11" t="str">
        <x:v>카드</x:v>
      </x:c>
      <x:c r="F48" s="15" t="n">
        <x:f>COUNTIFS('상품'!$B$6:$B$225,A48)</x:f>
        <x:v>4</x:v>
      </x:c>
      <x:c r="G48" s="15" t="n">
        <x:f>SUMIFS('상품'!$G$6:$G$225,'상품'!$B$6:$B$225,A48)</x:f>
        <x:v>4</x:v>
      </x:c>
      <x:c r="H48" s="15" t="n">
        <x:f>SUMIFS('상품'!$I$6:$I$225,'상품'!$B$6:$B$225,A48)</x:f>
        <x:v>14800</x:v>
      </x:c>
      <x:c r="I48" s="15" t="n">
        <x:f>SUMIFS('상품'!$J$6:$J$225,'상품'!$B$6:$B$225,A48)</x:f>
        <x:v>1000</x:v>
      </x:c>
      <x:c r="J48" s="15" t="n">
        <x:f>SUMIFS('상품'!$K$6:$K$225,'상품'!$B$6:$B$225,A48)</x:f>
        <x:v>13800</x:v>
      </x:c>
      <x:c r="K48" s="11" t="str">
        <x:v>POS_C</x:v>
      </x:c>
      <x:c r="L48" s="11" t="str">
        <x:v>receipts/R043.pdf</x:v>
      </x:c>
      <x:c r="M48" s="11" t="str">
        <x:v>정제완료_일부정보미확인</x:v>
      </x:c>
      <x:c r="N48" s="11" t="str">
        <x:v>MISSING_TIME</x:v>
      </x:c>
      <x:c r="O48" s="15" t="n">
        <x:v>13800</x:v>
      </x:c>
      <x:c r="P48" s="15" t="n">
        <x:f>J48-O48</x:f>
        <x:v>0</x:v>
      </x:c>
    </x:row>
    <x:row r="49" ht="23" customHeight="1">
      <x:c r="A49" s="4" t="str">
        <x:v>R044</x:v>
      </x:c>
      <x:c r="B49" s="14" t="d">
        <x:v>2026-09-14T00:00:00.000Z</x:v>
      </x:c>
      <x:c r="C49" s="4" t="str">
        <x:v>12:48</x:v>
      </x:c>
      <x:c r="D49" s="4" t="str">
        <x:v>카페 온담</x:v>
      </x:c>
      <x:c r="E49" s="4" t="str">
        <x:v>카드</x:v>
      </x:c>
      <x:c r="F49" s="16" t="n">
        <x:f>COUNTIFS('상품'!$B$6:$B$225,A49)</x:f>
        <x:v>2</x:v>
      </x:c>
      <x:c r="G49" s="16" t="n">
        <x:f>SUMIFS('상품'!$G$6:$G$225,'상품'!$B$6:$B$225,A49)</x:f>
        <x:v>2</x:v>
      </x:c>
      <x:c r="H49" s="16" t="n">
        <x:f>SUMIFS('상품'!$I$6:$I$225,'상품'!$B$6:$B$225,A49)</x:f>
        <x:v>8000</x:v>
      </x:c>
      <x:c r="I49" s="16" t="n">
        <x:f>SUMIFS('상품'!$J$6:$J$225,'상품'!$B$6:$B$225,A49)</x:f>
        <x:v>1000</x:v>
      </x:c>
      <x:c r="J49" s="16" t="n">
        <x:f>SUMIFS('상품'!$K$6:$K$225,'상품'!$B$6:$B$225,A49)</x:f>
        <x:v>7000</x:v>
      </x:c>
      <x:c r="K49" s="4" t="str">
        <x:v>POS_D</x:v>
      </x:c>
      <x:c r="L49" s="4" t="str">
        <x:v>receipts/R044.pdf</x:v>
      </x:c>
      <x:c r="M49" s="4" t="str">
        <x:v>정제완료</x:v>
      </x:c>
      <x:c r="N49" s="4" t="str"/>
      <x:c r="O49" s="16" t="n">
        <x:v>7000</x:v>
      </x:c>
      <x:c r="P49" s="16" t="n">
        <x:f>J49-O49</x:f>
        <x:v>0</x:v>
      </x:c>
    </x:row>
    <x:row r="50" ht="23" customHeight="1">
      <x:c r="A50" s="11" t="str">
        <x:v>R045</x:v>
      </x:c>
      <x:c r="B50" s="13" t="d">
        <x:v>2026-09-14T00:00:00.000Z</x:v>
      </x:c>
      <x:c r="C50" s="11" t="str">
        <x:v>13:54</x:v>
      </x:c>
      <x:c r="D50" s="11" t="str">
        <x:v>카페 온담</x:v>
      </x:c>
      <x:c r="E50" s="11" t="str">
        <x:v>카드</x:v>
      </x:c>
      <x:c r="F50" s="15" t="n">
        <x:f>COUNTIFS('상품'!$B$6:$B$225,A50)</x:f>
        <x:v>2</x:v>
      </x:c>
      <x:c r="G50" s="15" t="n">
        <x:f>SUMIFS('상품'!$G$6:$G$225,'상품'!$B$6:$B$225,A50)</x:f>
        <x:v>3</x:v>
      </x:c>
      <x:c r="H50" s="15" t="n">
        <x:f>SUMIFS('상품'!$I$6:$I$225,'상품'!$B$6:$B$225,A50)</x:f>
        <x:v>14000</x:v>
      </x:c>
      <x:c r="I50" s="15" t="n">
        <x:f>SUMIFS('상품'!$J$6:$J$225,'상품'!$B$6:$B$225,A50)</x:f>
        <x:v>1000</x:v>
      </x:c>
      <x:c r="J50" s="15" t="n">
        <x:f>SUMIFS('상품'!$K$6:$K$225,'상품'!$B$6:$B$225,A50)</x:f>
        <x:v>13000</x:v>
      </x:c>
      <x:c r="K50" s="11" t="str">
        <x:v>POS_E</x:v>
      </x:c>
      <x:c r="L50" s="11" t="str">
        <x:v>receipts/R045.pdf</x:v>
      </x:c>
      <x:c r="M50" s="11" t="str">
        <x:v>정제완료</x:v>
      </x:c>
      <x:c r="N50" s="11" t="str"/>
      <x:c r="O50" s="15" t="n">
        <x:v>13000</x:v>
      </x:c>
      <x:c r="P50" s="15" t="n">
        <x:f>J50-O50</x:f>
        <x:v>0</x:v>
      </x:c>
    </x:row>
    <x:row r="51" ht="23" customHeight="1">
      <x:c r="A51" s="4" t="str">
        <x:v>R046</x:v>
      </x:c>
      <x:c r="B51" s="14" t="d">
        <x:v>2026-09-14T00:00:00.000Z</x:v>
      </x:c>
      <x:c r="C51" s="4" t="str">
        <x:v>13:57</x:v>
      </x:c>
      <x:c r="D51" s="4" t="str">
        <x:v>카페 온담</x:v>
      </x:c>
      <x:c r="E51" s="4" t="str">
        <x:v>카드</x:v>
      </x:c>
      <x:c r="F51" s="16" t="n">
        <x:f>COUNTIFS('상품'!$B$6:$B$225,A51)</x:f>
        <x:v>2</x:v>
      </x:c>
      <x:c r="G51" s="16" t="n">
        <x:f>SUMIFS('상품'!$G$6:$G$225,'상품'!$B$6:$B$225,A51)</x:f>
        <x:v>3</x:v>
      </x:c>
      <x:c r="H51" s="16" t="n">
        <x:f>SUMIFS('상품'!$I$6:$I$225,'상품'!$B$6:$B$225,A51)</x:f>
        <x:v>16500</x:v>
      </x:c>
      <x:c r="I51" s="16" t="n">
        <x:f>SUMIFS('상품'!$J$6:$J$225,'상품'!$B$6:$B$225,A51)</x:f>
        <x:v>0</x:v>
      </x:c>
      <x:c r="J51" s="16" t="n">
        <x:f>SUMIFS('상품'!$K$6:$K$225,'상품'!$B$6:$B$225,A51)</x:f>
        <x:v>16500</x:v>
      </x:c>
      <x:c r="K51" s="4" t="str">
        <x:v>POS_A</x:v>
      </x:c>
      <x:c r="L51" s="4" t="str">
        <x:v>receipts/R046.pdf</x:v>
      </x:c>
      <x:c r="M51" s="4" t="str">
        <x:v>정제완료</x:v>
      </x:c>
      <x:c r="N51" s="4" t="str"/>
      <x:c r="O51" s="16" t="n">
        <x:v>16500</x:v>
      </x:c>
      <x:c r="P51" s="16" t="n">
        <x:f>J51-O51</x:f>
        <x:v>0</x:v>
      </x:c>
    </x:row>
    <x:row r="52" ht="23" customHeight="1">
      <x:c r="A52" s="11" t="str">
        <x:v>R047</x:v>
      </x:c>
      <x:c r="B52" s="13" t="d">
        <x:v>2026-09-14T00:00:00.000Z</x:v>
      </x:c>
      <x:c r="C52" s="11" t="str">
        <x:v>15:51</x:v>
      </x:c>
      <x:c r="D52" s="11" t="str">
        <x:v>카페 온담</x:v>
      </x:c>
      <x:c r="E52" s="11" t="str">
        <x:v>카드</x:v>
      </x:c>
      <x:c r="F52" s="15" t="n">
        <x:f>COUNTIFS('상품'!$B$6:$B$225,A52)</x:f>
        <x:v>2</x:v>
      </x:c>
      <x:c r="G52" s="15" t="n">
        <x:f>SUMIFS('상품'!$G$6:$G$225,'상품'!$B$6:$B$225,A52)</x:f>
        <x:v>2</x:v>
      </x:c>
      <x:c r="H52" s="15" t="n">
        <x:f>SUMIFS('상품'!$I$6:$I$225,'상품'!$B$6:$B$225,A52)</x:f>
        <x:v>12000</x:v>
      </x:c>
      <x:c r="I52" s="15" t="n">
        <x:f>SUMIFS('상품'!$J$6:$J$225,'상품'!$B$6:$B$225,A52)</x:f>
        <x:v>0</x:v>
      </x:c>
      <x:c r="J52" s="15" t="n">
        <x:f>SUMIFS('상품'!$K$6:$K$225,'상품'!$B$6:$B$225,A52)</x:f>
        <x:v>12000</x:v>
      </x:c>
      <x:c r="K52" s="11" t="str">
        <x:v>POS_B</x:v>
      </x:c>
      <x:c r="L52" s="11" t="str">
        <x:v>receipts/R047.pdf</x:v>
      </x:c>
      <x:c r="M52" s="11" t="str">
        <x:v>정제완료</x:v>
      </x:c>
      <x:c r="N52" s="11" t="str"/>
      <x:c r="O52" s="15" t="n">
        <x:v>12000</x:v>
      </x:c>
      <x:c r="P52" s="15" t="n">
        <x:f>J52-O52</x:f>
        <x:v>0</x:v>
      </x:c>
    </x:row>
    <x:row r="53" ht="23" customHeight="1">
      <x:c r="A53" s="4" t="str">
        <x:v>R048</x:v>
      </x:c>
      <x:c r="B53" s="14" t="d">
        <x:v>2026-09-14T00:00:00.000Z</x:v>
      </x:c>
      <x:c r="C53" s="4" t="str">
        <x:v>18:36</x:v>
      </x:c>
      <x:c r="D53" s="4" t="str">
        <x:v>카페 온담</x:v>
      </x:c>
      <x:c r="E53" s="4" t="str">
        <x:v>카드</x:v>
      </x:c>
      <x:c r="F53" s="16" t="n">
        <x:f>COUNTIFS('상품'!$B$6:$B$225,A53)</x:f>
        <x:v>1</x:v>
      </x:c>
      <x:c r="G53" s="16" t="n">
        <x:f>SUMIFS('상품'!$G$6:$G$225,'상품'!$B$6:$B$225,A53)</x:f>
        <x:v>1</x:v>
      </x:c>
      <x:c r="H53" s="16" t="n">
        <x:f>SUMIFS('상품'!$I$6:$I$225,'상품'!$B$6:$B$225,A53)</x:f>
        <x:v>4500</x:v>
      </x:c>
      <x:c r="I53" s="16" t="n">
        <x:f>SUMIFS('상품'!$J$6:$J$225,'상품'!$B$6:$B$225,A53)</x:f>
        <x:v>0</x:v>
      </x:c>
      <x:c r="J53" s="16" t="n">
        <x:f>SUMIFS('상품'!$K$6:$K$225,'상품'!$B$6:$B$225,A53)</x:f>
        <x:v>4500</x:v>
      </x:c>
      <x:c r="K53" s="4" t="str">
        <x:v>POS_C</x:v>
      </x:c>
      <x:c r="L53" s="4" t="str">
        <x:v>receipts/R048.pdf</x:v>
      </x:c>
      <x:c r="M53" s="4" t="str">
        <x:v>정제완료</x:v>
      </x:c>
      <x:c r="N53" s="4" t="str"/>
      <x:c r="O53" s="16" t="n">
        <x:v>4500</x:v>
      </x:c>
      <x:c r="P53" s="16" t="n">
        <x:f>J53-O53</x:f>
        <x:v>0</x:v>
      </x:c>
    </x:row>
    <x:row r="54" ht="23" customHeight="1">
      <x:c r="A54" s="11" t="str">
        <x:v>R049</x:v>
      </x:c>
      <x:c r="B54" s="13" t="d">
        <x:v>2026-09-15T00:00:00.000Z</x:v>
      </x:c>
      <x:c r="C54" s="11" t="str">
        <x:v>08:50</x:v>
      </x:c>
      <x:c r="D54" s="11" t="str">
        <x:v>카페 온담</x:v>
      </x:c>
      <x:c r="E54" s="11" t="str">
        <x:v>카드</x:v>
      </x:c>
      <x:c r="F54" s="15" t="n">
        <x:f>COUNTIFS('상품'!$B$6:$B$225,A54)</x:f>
        <x:v>2</x:v>
      </x:c>
      <x:c r="G54" s="15" t="n">
        <x:f>SUMIFS('상품'!$G$6:$G$225,'상품'!$B$6:$B$225,A54)</x:f>
        <x:v>3</x:v>
      </x:c>
      <x:c r="H54" s="15" t="n">
        <x:f>SUMIFS('상품'!$I$6:$I$225,'상품'!$B$6:$B$225,A54)</x:f>
        <x:v>16500</x:v>
      </x:c>
      <x:c r="I54" s="15" t="n">
        <x:f>SUMIFS('상품'!$J$6:$J$225,'상품'!$B$6:$B$225,A54)</x:f>
        <x:v>300</x:v>
      </x:c>
      <x:c r="J54" s="15" t="n">
        <x:f>SUMIFS('상품'!$K$6:$K$225,'상품'!$B$6:$B$225,A54)</x:f>
        <x:v>16200</x:v>
      </x:c>
      <x:c r="K54" s="11" t="str">
        <x:v>POS_D</x:v>
      </x:c>
      <x:c r="L54" s="11" t="str">
        <x:v>receipts/R049.pdf</x:v>
      </x:c>
      <x:c r="M54" s="11" t="str">
        <x:v>정제완료</x:v>
      </x:c>
      <x:c r="N54" s="11" t="str"/>
      <x:c r="O54" s="15" t="n">
        <x:v>16200</x:v>
      </x:c>
      <x:c r="P54" s="15" t="n">
        <x:f>J54-O54</x:f>
        <x:v>0</x:v>
      </x:c>
    </x:row>
    <x:row r="55" ht="23" customHeight="1">
      <x:c r="A55" s="4" t="str">
        <x:v>R050</x:v>
      </x:c>
      <x:c r="B55" s="14" t="d">
        <x:v>2026-09-15T00:00:00.000Z</x:v>
      </x:c>
      <x:c r="C55" s="4" t="str">
        <x:v>12:36</x:v>
      </x:c>
      <x:c r="D55" s="4" t="str">
        <x:v>카페 온담</x:v>
      </x:c>
      <x:c r="E55" s="4" t="str">
        <x:v>카드</x:v>
      </x:c>
      <x:c r="F55" s="16" t="n">
        <x:f>COUNTIFS('상품'!$B$6:$B$225,A55)</x:f>
        <x:v>2</x:v>
      </x:c>
      <x:c r="G55" s="16" t="n">
        <x:f>SUMIFS('상품'!$G$6:$G$225,'상품'!$B$6:$B$225,A55)</x:f>
        <x:v>2</x:v>
      </x:c>
      <x:c r="H55" s="16" t="n">
        <x:f>SUMIFS('상품'!$I$6:$I$225,'상품'!$B$6:$B$225,A55)</x:f>
        <x:v>10000</x:v>
      </x:c>
      <x:c r="I55" s="16" t="n">
        <x:f>SUMIFS('상품'!$J$6:$J$225,'상품'!$B$6:$B$225,A55)</x:f>
        <x:v>0</x:v>
      </x:c>
      <x:c r="J55" s="16" t="n">
        <x:f>SUMIFS('상품'!$K$6:$K$225,'상품'!$B$6:$B$225,A55)</x:f>
        <x:v>10000</x:v>
      </x:c>
      <x:c r="K55" s="4" t="str">
        <x:v>POS_E</x:v>
      </x:c>
      <x:c r="L55" s="4" t="str">
        <x:v>receipts/R050.pdf</x:v>
      </x:c>
      <x:c r="M55" s="4" t="str">
        <x:v>정제완료</x:v>
      </x:c>
      <x:c r="N55" s="4" t="str"/>
      <x:c r="O55" s="16" t="n">
        <x:v>10000</x:v>
      </x:c>
      <x:c r="P55" s="16" t="n">
        <x:f>J55-O55</x:f>
        <x:v>0</x:v>
      </x:c>
    </x:row>
    <x:row r="56" ht="23" customHeight="1">
      <x:c r="A56" s="11" t="str">
        <x:v>R051</x:v>
      </x:c>
      <x:c r="B56" s="13" t="d">
        <x:v>2026-09-15T00:00:00.000Z</x:v>
      </x:c>
      <x:c r="C56" s="11" t="str">
        <x:v>12:56</x:v>
      </x:c>
      <x:c r="D56" s="11" t="str">
        <x:v>카페 온담</x:v>
      </x:c>
      <x:c r="E56" s="11" t="str">
        <x:v>간편결제</x:v>
      </x:c>
      <x:c r="F56" s="15" t="n">
        <x:f>COUNTIFS('상품'!$B$6:$B$225,A56)</x:f>
        <x:v>2</x:v>
      </x:c>
      <x:c r="G56" s="15" t="n">
        <x:f>SUMIFS('상품'!$G$6:$G$225,'상품'!$B$6:$B$225,A56)</x:f>
        <x:v>3</x:v>
      </x:c>
      <x:c r="H56" s="15" t="n">
        <x:f>SUMIFS('상품'!$I$6:$I$225,'상품'!$B$6:$B$225,A56)</x:f>
        <x:v>15600</x:v>
      </x:c>
      <x:c r="I56" s="15" t="n">
        <x:f>SUMIFS('상품'!$J$6:$J$225,'상품'!$B$6:$B$225,A56)</x:f>
        <x:v>0</x:v>
      </x:c>
      <x:c r="J56" s="15" t="n">
        <x:f>SUMIFS('상품'!$K$6:$K$225,'상품'!$B$6:$B$225,A56)</x:f>
        <x:v>15600</x:v>
      </x:c>
      <x:c r="K56" s="11" t="str">
        <x:v>POS_A</x:v>
      </x:c>
      <x:c r="L56" s="11" t="str">
        <x:v>receipts/R051.pdf</x:v>
      </x:c>
      <x:c r="M56" s="11" t="str">
        <x:v>정제완료</x:v>
      </x:c>
      <x:c r="N56" s="11" t="str"/>
      <x:c r="O56" s="15" t="n">
        <x:v>15600</x:v>
      </x:c>
      <x:c r="P56" s="15" t="n">
        <x:f>J56-O56</x:f>
        <x:v>0</x:v>
      </x:c>
    </x:row>
    <x:row r="57" ht="23" customHeight="1">
      <x:c r="A57" s="4" t="str">
        <x:v>R052</x:v>
      </x:c>
      <x:c r="B57" s="14" t="d">
        <x:v>2026-09-15T00:00:00.000Z</x:v>
      </x:c>
      <x:c r="C57" s="4" t="str">
        <x:v>18:22</x:v>
      </x:c>
      <x:c r="D57" s="4" t="str">
        <x:v>카페 온담</x:v>
      </x:c>
      <x:c r="E57" s="4" t="str">
        <x:v>카드</x:v>
      </x:c>
      <x:c r="F57" s="16" t="n">
        <x:f>COUNTIFS('상품'!$B$6:$B$225,A57)</x:f>
        <x:v>2</x:v>
      </x:c>
      <x:c r="G57" s="16" t="n">
        <x:f>SUMIFS('상품'!$G$6:$G$225,'상품'!$B$6:$B$225,A57)</x:f>
        <x:v>2</x:v>
      </x:c>
      <x:c r="H57" s="16" t="n">
        <x:f>SUMIFS('상품'!$I$6:$I$225,'상품'!$B$6:$B$225,A57)</x:f>
        <x:v>11000</x:v>
      </x:c>
      <x:c r="I57" s="16" t="n">
        <x:f>SUMIFS('상품'!$J$6:$J$225,'상품'!$B$6:$B$225,A57)</x:f>
        <x:v>1000</x:v>
      </x:c>
      <x:c r="J57" s="16" t="n">
        <x:f>SUMIFS('상품'!$K$6:$K$225,'상품'!$B$6:$B$225,A57)</x:f>
        <x:v>10000</x:v>
      </x:c>
      <x:c r="K57" s="4" t="str">
        <x:v>POS_B</x:v>
      </x:c>
      <x:c r="L57" s="4" t="str">
        <x:v>receipts/R052.pdf</x:v>
      </x:c>
      <x:c r="M57" s="4" t="str">
        <x:v>정제완료</x:v>
      </x:c>
      <x:c r="N57" s="4" t="str"/>
      <x:c r="O57" s="16" t="n">
        <x:v>10000</x:v>
      </x:c>
      <x:c r="P57" s="16" t="n">
        <x:f>J57-O57</x:f>
        <x:v>0</x:v>
      </x:c>
    </x:row>
    <x:row r="58" ht="23" customHeight="1">
      <x:c r="A58" s="11" t="str">
        <x:v>R053</x:v>
      </x:c>
      <x:c r="B58" s="13" t="d">
        <x:v>2026-09-15T00:00:00.000Z</x:v>
      </x:c>
      <x:c r="C58" s="11" t="str">
        <x:v>19:33</x:v>
      </x:c>
      <x:c r="D58" s="11" t="str">
        <x:v>카페 온담</x:v>
      </x:c>
      <x:c r="E58" s="11" t="str">
        <x:v>카드</x:v>
      </x:c>
      <x:c r="F58" s="15" t="n">
        <x:f>COUNTIFS('상품'!$B$6:$B$225,A58)</x:f>
        <x:v>3</x:v>
      </x:c>
      <x:c r="G58" s="15" t="n">
        <x:f>SUMIFS('상품'!$G$6:$G$225,'상품'!$B$6:$B$225,A58)</x:f>
        <x:v>4</x:v>
      </x:c>
      <x:c r="H58" s="15" t="n">
        <x:f>SUMIFS('상품'!$I$6:$I$225,'상품'!$B$6:$B$225,A58)</x:f>
        <x:v>21500</x:v>
      </x:c>
      <x:c r="I58" s="15" t="n">
        <x:f>SUMIFS('상품'!$J$6:$J$225,'상품'!$B$6:$B$225,A58)</x:f>
        <x:v>300</x:v>
      </x:c>
      <x:c r="J58" s="15" t="n">
        <x:f>SUMIFS('상품'!$K$6:$K$225,'상품'!$B$6:$B$225,A58)</x:f>
        <x:v>21200</x:v>
      </x:c>
      <x:c r="K58" s="11" t="str">
        <x:v>POS_C</x:v>
      </x:c>
      <x:c r="L58" s="11" t="str">
        <x:v>receipts/R053.pdf</x:v>
      </x:c>
      <x:c r="M58" s="11" t="str">
        <x:v>정제완료</x:v>
      </x:c>
      <x:c r="N58" s="11" t="str"/>
      <x:c r="O58" s="15" t="n">
        <x:v>21200</x:v>
      </x:c>
      <x:c r="P58" s="15" t="n">
        <x:f>J58-O58</x:f>
        <x:v>0</x:v>
      </x:c>
    </x:row>
    <x:row r="59" ht="23" customHeight="1">
      <x:c r="A59" s="4" t="str">
        <x:v>R054</x:v>
      </x:c>
      <x:c r="B59" s="14" t="d">
        <x:v>2026-09-16T00:00:00.000Z</x:v>
      </x:c>
      <x:c r="C59" s="4" t="str">
        <x:v>13:37</x:v>
      </x:c>
      <x:c r="D59" s="4" t="str">
        <x:v>카페 온담</x:v>
      </x:c>
      <x:c r="E59" s="4" t="str">
        <x:v>현금</x:v>
      </x:c>
      <x:c r="F59" s="16" t="n">
        <x:f>COUNTIFS('상품'!$B$6:$B$225,A59)</x:f>
        <x:v>3</x:v>
      </x:c>
      <x:c r="G59" s="16" t="n">
        <x:f>SUMIFS('상품'!$G$6:$G$225,'상품'!$B$6:$B$225,A59)</x:f>
        <x:v>4</x:v>
      </x:c>
      <x:c r="H59" s="16" t="n">
        <x:f>SUMIFS('상품'!$I$6:$I$225,'상품'!$B$6:$B$225,A59)</x:f>
        <x:v>21000</x:v>
      </x:c>
      <x:c r="I59" s="16" t="n">
        <x:f>SUMIFS('상품'!$J$6:$J$225,'상품'!$B$6:$B$225,A59)</x:f>
        <x:v>0</x:v>
      </x:c>
      <x:c r="J59" s="16" t="n">
        <x:f>SUMIFS('상품'!$K$6:$K$225,'상품'!$B$6:$B$225,A59)</x:f>
        <x:v>21000</x:v>
      </x:c>
      <x:c r="K59" s="4" t="str">
        <x:v>POS_D</x:v>
      </x:c>
      <x:c r="L59" s="4" t="str">
        <x:v>receipts/R054.pdf</x:v>
      </x:c>
      <x:c r="M59" s="4" t="str">
        <x:v>정제완료</x:v>
      </x:c>
      <x:c r="N59" s="4" t="str"/>
      <x:c r="O59" s="16" t="n">
        <x:v>21000</x:v>
      </x:c>
      <x:c r="P59" s="16" t="n">
        <x:f>J59-O59</x:f>
        <x:v>0</x:v>
      </x:c>
    </x:row>
    <x:row r="60" ht="23" customHeight="1">
      <x:c r="A60" s="11" t="str">
        <x:v>R055</x:v>
      </x:c>
      <x:c r="B60" s="13" t="d">
        <x:v>2026-09-16T00:00:00.000Z</x:v>
      </x:c>
      <x:c r="C60" s="11" t="str">
        <x:v>17:28</x:v>
      </x:c>
      <x:c r="D60" s="11" t="str">
        <x:v>카페 온담</x:v>
      </x:c>
      <x:c r="E60" s="11" t="str">
        <x:v>카드</x:v>
      </x:c>
      <x:c r="F60" s="15" t="n">
        <x:f>COUNTIFS('상품'!$B$6:$B$225,A60)</x:f>
        <x:v>3</x:v>
      </x:c>
      <x:c r="G60" s="15" t="n">
        <x:f>SUMIFS('상품'!$G$6:$G$225,'상품'!$B$6:$B$225,A60)</x:f>
        <x:v>3</x:v>
      </x:c>
      <x:c r="H60" s="15" t="n">
        <x:f>SUMIFS('상품'!$I$6:$I$225,'상품'!$B$6:$B$225,A60)</x:f>
        <x:v>14300</x:v>
      </x:c>
      <x:c r="I60" s="15" t="n">
        <x:f>SUMIFS('상품'!$J$6:$J$225,'상품'!$B$6:$B$225,A60)</x:f>
        <x:v>0</x:v>
      </x:c>
      <x:c r="J60" s="15" t="n">
        <x:f>SUMIFS('상품'!$K$6:$K$225,'상품'!$B$6:$B$225,A60)</x:f>
        <x:v>14300</x:v>
      </x:c>
      <x:c r="K60" s="11" t="str">
        <x:v>POS_E</x:v>
      </x:c>
      <x:c r="L60" s="11" t="str">
        <x:v>receipts/R055.pdf</x:v>
      </x:c>
      <x:c r="M60" s="11" t="str">
        <x:v>정제완료</x:v>
      </x:c>
      <x:c r="N60" s="11" t="str"/>
      <x:c r="O60" s="15" t="n">
        <x:v>14300</x:v>
      </x:c>
      <x:c r="P60" s="15" t="n">
        <x:f>J60-O60</x:f>
        <x:v>0</x:v>
      </x:c>
    </x:row>
    <x:row r="61" ht="23" customHeight="1">
      <x:c r="A61" s="4" t="str">
        <x:v>R056</x:v>
      </x:c>
      <x:c r="B61" s="14" t="d">
        <x:v>2026-09-17T00:00:00.000Z</x:v>
      </x:c>
      <x:c r="C61" s="4" t="str">
        <x:v>15:12</x:v>
      </x:c>
      <x:c r="D61" s="4" t="str">
        <x:v>카페 온담</x:v>
      </x:c>
      <x:c r="E61" s="4" t="str">
        <x:v>카드</x:v>
      </x:c>
      <x:c r="F61" s="16" t="n">
        <x:f>COUNTIFS('상품'!$B$6:$B$225,A61)</x:f>
        <x:v>3</x:v>
      </x:c>
      <x:c r="G61" s="16" t="n">
        <x:f>SUMIFS('상품'!$G$6:$G$225,'상품'!$B$6:$B$225,A61)</x:f>
        <x:v>3</x:v>
      </x:c>
      <x:c r="H61" s="16" t="n">
        <x:f>SUMIFS('상품'!$I$6:$I$225,'상품'!$B$6:$B$225,A61)</x:f>
        <x:v>13300</x:v>
      </x:c>
      <x:c r="I61" s="16" t="n">
        <x:f>SUMIFS('상품'!$J$6:$J$225,'상품'!$B$6:$B$225,A61)</x:f>
        <x:v>1000</x:v>
      </x:c>
      <x:c r="J61" s="16" t="n">
        <x:f>SUMIFS('상품'!$K$6:$K$225,'상품'!$B$6:$B$225,A61)</x:f>
        <x:v>12300</x:v>
      </x:c>
      <x:c r="K61" s="4" t="str">
        <x:v>POS_A</x:v>
      </x:c>
      <x:c r="L61" s="4" t="str">
        <x:v>receipts/R056.pdf</x:v>
      </x:c>
      <x:c r="M61" s="4" t="str">
        <x:v>정제완료</x:v>
      </x:c>
      <x:c r="N61" s="4" t="str"/>
      <x:c r="O61" s="16" t="n">
        <x:v>12300</x:v>
      </x:c>
      <x:c r="P61" s="16" t="n">
        <x:f>J61-O61</x:f>
        <x:v>0</x:v>
      </x:c>
    </x:row>
    <x:row r="62" ht="23" customHeight="1">
      <x:c r="A62" s="11" t="str">
        <x:v>R057</x:v>
      </x:c>
      <x:c r="B62" s="13" t="d">
        <x:v>2026-09-18T00:00:00.000Z</x:v>
      </x:c>
      <x:c r="C62" s="11" t="str">
        <x:v>13:41</x:v>
      </x:c>
      <x:c r="D62" s="11" t="str">
        <x:v>카페 온담</x:v>
      </x:c>
      <x:c r="E62" s="11" t="str">
        <x:v>간편결제</x:v>
      </x:c>
      <x:c r="F62" s="15" t="n">
        <x:f>COUNTIFS('상품'!$B$6:$B$225,A62)</x:f>
        <x:v>1</x:v>
      </x:c>
      <x:c r="G62" s="15" t="n">
        <x:f>SUMIFS('상품'!$G$6:$G$225,'상품'!$B$6:$B$225,A62)</x:f>
        <x:v>1</x:v>
      </x:c>
      <x:c r="H62" s="15" t="n">
        <x:f>SUMIFS('상품'!$I$6:$I$225,'상품'!$B$6:$B$225,A62)</x:f>
        <x:v>5500</x:v>
      </x:c>
      <x:c r="I62" s="15" t="n">
        <x:f>SUMIFS('상품'!$J$6:$J$225,'상품'!$B$6:$B$225,A62)</x:f>
        <x:v>0</x:v>
      </x:c>
      <x:c r="J62" s="15" t="n">
        <x:f>SUMIFS('상품'!$K$6:$K$225,'상품'!$B$6:$B$225,A62)</x:f>
        <x:v>5500</x:v>
      </x:c>
      <x:c r="K62" s="11" t="str">
        <x:v>POS_B</x:v>
      </x:c>
      <x:c r="L62" s="11" t="str">
        <x:v>receipts/R057.pdf</x:v>
      </x:c>
      <x:c r="M62" s="11" t="str">
        <x:v>정제완료</x:v>
      </x:c>
      <x:c r="N62" s="11" t="str"/>
      <x:c r="O62" s="15" t="n">
        <x:v>5500</x:v>
      </x:c>
      <x:c r="P62" s="15" t="n">
        <x:f>J62-O62</x:f>
        <x:v>0</x:v>
      </x:c>
    </x:row>
    <x:row r="63" ht="23" customHeight="1">
      <x:c r="A63" s="4" t="str">
        <x:v>R058</x:v>
      </x:c>
      <x:c r="B63" s="14" t="d">
        <x:v>2026-09-18T00:00:00.000Z</x:v>
      </x:c>
      <x:c r="C63" s="4" t="str">
        <x:v>16:39</x:v>
      </x:c>
      <x:c r="D63" s="4" t="str">
        <x:v>카페 온담</x:v>
      </x:c>
      <x:c r="E63" s="4" t="str">
        <x:v>현금</x:v>
      </x:c>
      <x:c r="F63" s="16" t="n">
        <x:f>COUNTIFS('상품'!$B$6:$B$225,A63)</x:f>
        <x:v>3</x:v>
      </x:c>
      <x:c r="G63" s="16" t="n">
        <x:f>SUMIFS('상품'!$G$6:$G$225,'상품'!$B$6:$B$225,A63)</x:f>
        <x:v>5</x:v>
      </x:c>
      <x:c r="H63" s="16" t="n">
        <x:f>SUMIFS('상품'!$I$6:$I$225,'상품'!$B$6:$B$225,A63)</x:f>
        <x:v>29000</x:v>
      </x:c>
      <x:c r="I63" s="16" t="n">
        <x:f>SUMIFS('상품'!$J$6:$J$225,'상품'!$B$6:$B$225,A63)</x:f>
        <x:v>0</x:v>
      </x:c>
      <x:c r="J63" s="16" t="n">
        <x:f>SUMIFS('상품'!$K$6:$K$225,'상품'!$B$6:$B$225,A63)</x:f>
        <x:v>29000</x:v>
      </x:c>
      <x:c r="K63" s="4" t="str">
        <x:v>POS_C</x:v>
      </x:c>
      <x:c r="L63" s="4" t="str">
        <x:v>receipts/R058.pdf</x:v>
      </x:c>
      <x:c r="M63" s="4" t="str">
        <x:v>정제완료</x:v>
      </x:c>
      <x:c r="N63" s="4" t="str"/>
      <x:c r="O63" s="16" t="n">
        <x:v>29000</x:v>
      </x:c>
      <x:c r="P63" s="16" t="n">
        <x:f>J63-O63</x:f>
        <x:v>0</x:v>
      </x:c>
    </x:row>
    <x:row r="64" ht="23" customHeight="1">
      <x:c r="A64" s="11" t="str">
        <x:v>R059</x:v>
      </x:c>
      <x:c r="B64" s="13" t="d">
        <x:v>2026-09-18T00:00:00.000Z</x:v>
      </x:c>
      <x:c r="C64" s="11" t="str">
        <x:v>19:45</x:v>
      </x:c>
      <x:c r="D64" s="11" t="str">
        <x:v>카페 온담</x:v>
      </x:c>
      <x:c r="E64" s="11" t="str">
        <x:v>현금</x:v>
      </x:c>
      <x:c r="F64" s="15" t="n">
        <x:f>COUNTIFS('상품'!$B$6:$B$225,A64)</x:f>
        <x:v>3</x:v>
      </x:c>
      <x:c r="G64" s="15" t="n">
        <x:f>SUMIFS('상품'!$G$6:$G$225,'상품'!$B$6:$B$225,A64)</x:f>
        <x:v>5</x:v>
      </x:c>
      <x:c r="H64" s="15" t="n">
        <x:f>SUMIFS('상품'!$I$6:$I$225,'상품'!$B$6:$B$225,A64)</x:f>
        <x:v>23500</x:v>
      </x:c>
      <x:c r="I64" s="15" t="n">
        <x:f>SUMIFS('상품'!$J$6:$J$225,'상품'!$B$6:$B$225,A64)</x:f>
        <x:v>0</x:v>
      </x:c>
      <x:c r="J64" s="15" t="n">
        <x:f>SUMIFS('상품'!$K$6:$K$225,'상품'!$B$6:$B$225,A64)</x:f>
        <x:v>23500</x:v>
      </x:c>
      <x:c r="K64" s="11" t="str">
        <x:v>POS_D</x:v>
      </x:c>
      <x:c r="L64" s="11" t="str">
        <x:v>receipts/R059.pdf</x:v>
      </x:c>
      <x:c r="M64" s="11" t="str">
        <x:v>정제완료</x:v>
      </x:c>
      <x:c r="N64" s="11" t="str"/>
      <x:c r="O64" s="15" t="n">
        <x:v>23500</x:v>
      </x:c>
      <x:c r="P64" s="15" t="n">
        <x:f>J64-O64</x:f>
        <x:v>0</x:v>
      </x:c>
    </x:row>
    <x:row r="65" ht="23" customHeight="1">
      <x:c r="A65" s="4" t="str">
        <x:v>R060</x:v>
      </x:c>
      <x:c r="B65" s="14" t="d">
        <x:v>2026-09-19T00:00:00.000Z</x:v>
      </x:c>
      <x:c r="C65" s="4" t="str">
        <x:v>13:10</x:v>
      </x:c>
      <x:c r="D65" s="4" t="str">
        <x:v>카페 온담</x:v>
      </x:c>
      <x:c r="E65" s="4" t="str">
        <x:v>카드</x:v>
      </x:c>
      <x:c r="F65" s="16" t="n">
        <x:f>COUNTIFS('상품'!$B$6:$B$225,A65)</x:f>
        <x:v>2</x:v>
      </x:c>
      <x:c r="G65" s="16" t="n">
        <x:f>SUMIFS('상품'!$G$6:$G$225,'상품'!$B$6:$B$225,A65)</x:f>
        <x:v>2</x:v>
      </x:c>
      <x:c r="H65" s="16" t="n">
        <x:f>SUMIFS('상품'!$I$6:$I$225,'상품'!$B$6:$B$225,A65)</x:f>
        <x:v>11000</x:v>
      </x:c>
      <x:c r="I65" s="16" t="n">
        <x:f>SUMIFS('상품'!$J$6:$J$225,'상품'!$B$6:$B$225,A65)</x:f>
        <x:v>0</x:v>
      </x:c>
      <x:c r="J65" s="16" t="n">
        <x:f>SUMIFS('상품'!$K$6:$K$225,'상품'!$B$6:$B$225,A65)</x:f>
        <x:v>11000</x:v>
      </x:c>
      <x:c r="K65" s="4" t="str">
        <x:v>POS_E</x:v>
      </x:c>
      <x:c r="L65" s="4" t="str">
        <x:v>receipts/R060.pdf</x:v>
      </x:c>
      <x:c r="M65" s="4" t="str">
        <x:v>정제완료</x:v>
      </x:c>
      <x:c r="N65" s="4" t="str"/>
      <x:c r="O65" s="16" t="n">
        <x:v>11000</x:v>
      </x:c>
      <x:c r="P65" s="16" t="n">
        <x:f>J65-O65</x:f>
        <x:v>0</x:v>
      </x:c>
    </x:row>
    <x:row r="66" ht="23" customHeight="1">
      <x:c r="A66" s="11" t="str">
        <x:v>R061</x:v>
      </x:c>
      <x:c r="B66" s="13" t="d">
        <x:v>2026-09-19T00:00:00.000Z</x:v>
      </x:c>
      <x:c r="C66" s="11" t="str">
        <x:v>13:14</x:v>
      </x:c>
      <x:c r="D66" s="11" t="str">
        <x:v>카페 온담</x:v>
      </x:c>
      <x:c r="E66" s="11" t="str">
        <x:v>카드</x:v>
      </x:c>
      <x:c r="F66" s="15" t="n">
        <x:f>COUNTIFS('상품'!$B$6:$B$225,A66)</x:f>
        <x:v>2</x:v>
      </x:c>
      <x:c r="G66" s="15" t="n">
        <x:f>SUMIFS('상품'!$G$6:$G$225,'상품'!$B$6:$B$225,A66)</x:f>
        <x:v>3</x:v>
      </x:c>
      <x:c r="H66" s="15" t="n">
        <x:f>SUMIFS('상품'!$I$6:$I$225,'상품'!$B$6:$B$225,A66)</x:f>
        <x:v>15100</x:v>
      </x:c>
      <x:c r="I66" s="15" t="n">
        <x:f>SUMIFS('상품'!$J$6:$J$225,'상품'!$B$6:$B$225,A66)</x:f>
        <x:v>1300</x:v>
      </x:c>
      <x:c r="J66" s="15" t="n">
        <x:f>SUMIFS('상품'!$K$6:$K$225,'상품'!$B$6:$B$225,A66)</x:f>
        <x:v>13800</x:v>
      </x:c>
      <x:c r="K66" s="11" t="str">
        <x:v>POS_A</x:v>
      </x:c>
      <x:c r="L66" s="11" t="str">
        <x:v>receipts/R061.pdf</x:v>
      </x:c>
      <x:c r="M66" s="11" t="str">
        <x:v>정제완료</x:v>
      </x:c>
      <x:c r="N66" s="11" t="str"/>
      <x:c r="O66" s="15" t="n">
        <x:v>13800</x:v>
      </x:c>
      <x:c r="P66" s="15" t="n">
        <x:f>J66-O66</x:f>
        <x:v>0</x:v>
      </x:c>
    </x:row>
    <x:row r="67" ht="23" customHeight="1">
      <x:c r="A67" s="4" t="str">
        <x:v>R062</x:v>
      </x:c>
      <x:c r="B67" s="14" t="d">
        <x:v>2026-09-19T00:00:00.000Z</x:v>
      </x:c>
      <x:c r="C67" s="4" t="str">
        <x:v>14:02</x:v>
      </x:c>
      <x:c r="D67" s="4" t="str">
        <x:v>카페 온담</x:v>
      </x:c>
      <x:c r="E67" s="4" t="str">
        <x:v>현금</x:v>
      </x:c>
      <x:c r="F67" s="16" t="n">
        <x:f>COUNTIFS('상품'!$B$6:$B$225,A67)</x:f>
        <x:v>2</x:v>
      </x:c>
      <x:c r="G67" s="16" t="n">
        <x:f>SUMIFS('상품'!$G$6:$G$225,'상품'!$B$6:$B$225,A67)</x:f>
        <x:v>3</x:v>
      </x:c>
      <x:c r="H67" s="16" t="n">
        <x:f>SUMIFS('상품'!$I$6:$I$225,'상품'!$B$6:$B$225,A67)</x:f>
        <x:v>17000</x:v>
      </x:c>
      <x:c r="I67" s="16" t="n">
        <x:f>SUMIFS('상품'!$J$6:$J$225,'상품'!$B$6:$B$225,A67)</x:f>
        <x:v>0</x:v>
      </x:c>
      <x:c r="J67" s="16" t="n">
        <x:f>SUMIFS('상품'!$K$6:$K$225,'상품'!$B$6:$B$225,A67)</x:f>
        <x:v>17000</x:v>
      </x:c>
      <x:c r="K67" s="4" t="str">
        <x:v>POS_B</x:v>
      </x:c>
      <x:c r="L67" s="4" t="str">
        <x:v>receipts/R062.pdf</x:v>
      </x:c>
      <x:c r="M67" s="4" t="str">
        <x:v>정제완료</x:v>
      </x:c>
      <x:c r="N67" s="4" t="str"/>
      <x:c r="O67" s="16" t="n">
        <x:v>17000</x:v>
      </x:c>
      <x:c r="P67" s="16" t="n">
        <x:f>J67-O67</x:f>
        <x:v>0</x:v>
      </x:c>
    </x:row>
    <x:row r="68" ht="23" customHeight="1">
      <x:c r="A68" s="11" t="str">
        <x:v>R063</x:v>
      </x:c>
      <x:c r="B68" s="13" t="d">
        <x:v>2026-09-19T00:00:00.000Z</x:v>
      </x:c>
      <x:c r="C68" s="11" t="str">
        <x:v>14:26</x:v>
      </x:c>
      <x:c r="D68" s="11" t="str">
        <x:v>카페 온담</x:v>
      </x:c>
      <x:c r="E68" s="11" t="str">
        <x:v>카드</x:v>
      </x:c>
      <x:c r="F68" s="15" t="n">
        <x:f>COUNTIFS('상품'!$B$6:$B$225,A68)</x:f>
        <x:v>2</x:v>
      </x:c>
      <x:c r="G68" s="15" t="n">
        <x:f>SUMIFS('상품'!$G$6:$G$225,'상품'!$B$6:$B$225,A68)</x:f>
        <x:v>3</x:v>
      </x:c>
      <x:c r="H68" s="15" t="n">
        <x:f>SUMIFS('상품'!$I$6:$I$225,'상품'!$B$6:$B$225,A68)</x:f>
        <x:v>17500</x:v>
      </x:c>
      <x:c r="I68" s="15" t="n">
        <x:f>SUMIFS('상품'!$J$6:$J$225,'상품'!$B$6:$B$225,A68)</x:f>
        <x:v>0</x:v>
      </x:c>
      <x:c r="J68" s="15" t="n">
        <x:f>SUMIFS('상품'!$K$6:$K$225,'상품'!$B$6:$B$225,A68)</x:f>
        <x:v>17500</x:v>
      </x:c>
      <x:c r="K68" s="11" t="str">
        <x:v>POS_C</x:v>
      </x:c>
      <x:c r="L68" s="11" t="str">
        <x:v>receipts/R063.pdf</x:v>
      </x:c>
      <x:c r="M68" s="11" t="str">
        <x:v>정제완료</x:v>
      </x:c>
      <x:c r="N68" s="11" t="str"/>
      <x:c r="O68" s="15" t="n">
        <x:v>17500</x:v>
      </x:c>
      <x:c r="P68" s="15" t="n">
        <x:f>J68-O68</x:f>
        <x:v>0</x:v>
      </x:c>
    </x:row>
    <x:row r="69" ht="23" customHeight="1">
      <x:c r="A69" s="4" t="str">
        <x:v>R064</x:v>
      </x:c>
      <x:c r="B69" s="14" t="d">
        <x:v>2026-09-19T00:00:00.000Z</x:v>
      </x:c>
      <x:c r="C69" s="4"/>
      <x:c r="D69" s="4" t="str">
        <x:v>카페 온담</x:v>
      </x:c>
      <x:c r="E69" s="4" t="str">
        <x:v>간편결제</x:v>
      </x:c>
      <x:c r="F69" s="16" t="n">
        <x:f>COUNTIFS('상품'!$B$6:$B$225,A69)</x:f>
        <x:v>3</x:v>
      </x:c>
      <x:c r="G69" s="16" t="n">
        <x:f>SUMIFS('상품'!$G$6:$G$225,'상품'!$B$6:$B$225,A69)</x:f>
        <x:v>4</x:v>
      </x:c>
      <x:c r="H69" s="16" t="n">
        <x:f>SUMIFS('상품'!$I$6:$I$225,'상품'!$B$6:$B$225,A69)</x:f>
        <x:v>17800</x:v>
      </x:c>
      <x:c r="I69" s="16" t="n">
        <x:f>SUMIFS('상품'!$J$6:$J$225,'상품'!$B$6:$B$225,A69)</x:f>
        <x:v>0</x:v>
      </x:c>
      <x:c r="J69" s="16" t="n">
        <x:f>SUMIFS('상품'!$K$6:$K$225,'상품'!$B$6:$B$225,A69)</x:f>
        <x:v>17800</x:v>
      </x:c>
      <x:c r="K69" s="4" t="str">
        <x:v>POS_D</x:v>
      </x:c>
      <x:c r="L69" s="4" t="str">
        <x:v>receipts/R064.pdf</x:v>
      </x:c>
      <x:c r="M69" s="4" t="str">
        <x:v>정제완료_일부정보미확인</x:v>
      </x:c>
      <x:c r="N69" s="4" t="str">
        <x:v>MISSING_TIME</x:v>
      </x:c>
      <x:c r="O69" s="16" t="n">
        <x:v>17800</x:v>
      </x:c>
      <x:c r="P69" s="16" t="n">
        <x:f>J69-O69</x:f>
        <x:v>0</x:v>
      </x:c>
    </x:row>
    <x:row r="70" ht="23" customHeight="1">
      <x:c r="A70" s="11" t="str">
        <x:v>R065</x:v>
      </x:c>
      <x:c r="B70" s="13" t="d">
        <x:v>2026-09-19T00:00:00.000Z</x:v>
      </x:c>
      <x:c r="C70" s="11" t="str">
        <x:v>20:58</x:v>
      </x:c>
      <x:c r="D70" s="11" t="str">
        <x:v>카페 온담</x:v>
      </x:c>
      <x:c r="E70" s="11" t="str">
        <x:v>간편결제</x:v>
      </x:c>
      <x:c r="F70" s="15" t="n">
        <x:f>COUNTIFS('상품'!$B$6:$B$225,A70)</x:f>
        <x:v>3</x:v>
      </x:c>
      <x:c r="G70" s="15" t="n">
        <x:f>SUMIFS('상품'!$G$6:$G$225,'상품'!$B$6:$B$225,A70)</x:f>
        <x:v>4</x:v>
      </x:c>
      <x:c r="H70" s="15" t="n">
        <x:f>SUMIFS('상품'!$I$6:$I$225,'상품'!$B$6:$B$225,A70)</x:f>
        <x:v>22000</x:v>
      </x:c>
      <x:c r="I70" s="15" t="n">
        <x:f>SUMIFS('상품'!$J$6:$J$225,'상품'!$B$6:$B$225,A70)</x:f>
        <x:v>0</x:v>
      </x:c>
      <x:c r="J70" s="15" t="n">
        <x:f>SUMIFS('상품'!$K$6:$K$225,'상품'!$B$6:$B$225,A70)</x:f>
        <x:v>22000</x:v>
      </x:c>
      <x:c r="K70" s="11" t="str">
        <x:v>POS_E</x:v>
      </x:c>
      <x:c r="L70" s="11" t="str">
        <x:v>receipts/R065.pdf</x:v>
      </x:c>
      <x:c r="M70" s="11" t="str">
        <x:v>정제완료</x:v>
      </x:c>
      <x:c r="N70" s="11" t="str"/>
      <x:c r="O70" s="15" t="n">
        <x:v>22000</x:v>
      </x:c>
      <x:c r="P70" s="15" t="n">
        <x:f>J70-O70</x:f>
        <x:v>0</x:v>
      </x:c>
    </x:row>
    <x:row r="71" ht="23" customHeight="1">
      <x:c r="A71" s="4" t="str">
        <x:v>R066</x:v>
      </x:c>
      <x:c r="B71" s="14" t="d">
        <x:v>2026-09-20T00:00:00.000Z</x:v>
      </x:c>
      <x:c r="C71" s="4" t="str">
        <x:v>10:51</x:v>
      </x:c>
      <x:c r="D71" s="4" t="str">
        <x:v>카페 온담</x:v>
      </x:c>
      <x:c r="E71" s="4" t="str">
        <x:v>카드</x:v>
      </x:c>
      <x:c r="F71" s="16" t="n">
        <x:f>COUNTIFS('상품'!$B$6:$B$225,A71)</x:f>
        <x:v>3</x:v>
      </x:c>
      <x:c r="G71" s="16" t="n">
        <x:f>SUMIFS('상품'!$G$6:$G$225,'상품'!$B$6:$B$225,A71)</x:f>
        <x:v>3</x:v>
      </x:c>
      <x:c r="H71" s="16" t="n">
        <x:f>SUMIFS('상품'!$I$6:$I$225,'상품'!$B$6:$B$225,A71)</x:f>
        <x:v>12300</x:v>
      </x:c>
      <x:c r="I71" s="16" t="n">
        <x:f>SUMIFS('상품'!$J$6:$J$225,'상품'!$B$6:$B$225,A71)</x:f>
        <x:v>500</x:v>
      </x:c>
      <x:c r="J71" s="16" t="n">
        <x:f>SUMIFS('상품'!$K$6:$K$225,'상품'!$B$6:$B$225,A71)</x:f>
        <x:v>11800</x:v>
      </x:c>
      <x:c r="K71" s="4" t="str">
        <x:v>POS_A</x:v>
      </x:c>
      <x:c r="L71" s="4" t="str">
        <x:v>receipts/R066.pdf</x:v>
      </x:c>
      <x:c r="M71" s="4" t="str">
        <x:v>정제완료</x:v>
      </x:c>
      <x:c r="N71" s="4" t="str"/>
      <x:c r="O71" s="16" t="n">
        <x:v>11800</x:v>
      </x:c>
      <x:c r="P71" s="16" t="n">
        <x:f>J71-O71</x:f>
        <x:v>0</x:v>
      </x:c>
    </x:row>
    <x:row r="72" ht="23" customHeight="1">
      <x:c r="A72" s="11" t="str">
        <x:v>R067</x:v>
      </x:c>
      <x:c r="B72" s="13" t="d">
        <x:v>2026-09-20T00:00:00.000Z</x:v>
      </x:c>
      <x:c r="C72" s="11" t="str">
        <x:v>11:54</x:v>
      </x:c>
      <x:c r="D72" s="11" t="str">
        <x:v>카페 온담</x:v>
      </x:c>
      <x:c r="E72" s="11" t="str">
        <x:v>간편결제</x:v>
      </x:c>
      <x:c r="F72" s="15" t="n">
        <x:f>COUNTIFS('상품'!$B$6:$B$225,A72)</x:f>
        <x:v>2</x:v>
      </x:c>
      <x:c r="G72" s="15" t="n">
        <x:f>SUMIFS('상품'!$G$6:$G$225,'상품'!$B$6:$B$225,A72)</x:f>
        <x:v>2</x:v>
      </x:c>
      <x:c r="H72" s="15" t="n">
        <x:f>SUMIFS('상품'!$I$6:$I$225,'상품'!$B$6:$B$225,A72)</x:f>
        <x:v>10000</x:v>
      </x:c>
      <x:c r="I72" s="15" t="n">
        <x:f>SUMIFS('상품'!$J$6:$J$225,'상품'!$B$6:$B$225,A72)</x:f>
        <x:v>300</x:v>
      </x:c>
      <x:c r="J72" s="15" t="n">
        <x:f>SUMIFS('상품'!$K$6:$K$225,'상품'!$B$6:$B$225,A72)</x:f>
        <x:v>9700</x:v>
      </x:c>
      <x:c r="K72" s="11" t="str">
        <x:v>POS_B</x:v>
      </x:c>
      <x:c r="L72" s="11" t="str">
        <x:v>receipts/R067.pdf</x:v>
      </x:c>
      <x:c r="M72" s="11" t="str">
        <x:v>정제완료</x:v>
      </x:c>
      <x:c r="N72" s="11" t="str"/>
      <x:c r="O72" s="15" t="n">
        <x:v>9700</x:v>
      </x:c>
      <x:c r="P72" s="15" t="n">
        <x:f>J72-O72</x:f>
        <x:v>0</x:v>
      </x:c>
    </x:row>
    <x:row r="73" ht="23" customHeight="1">
      <x:c r="A73" s="4" t="str">
        <x:v>R068</x:v>
      </x:c>
      <x:c r="B73" s="14" t="d">
        <x:v>2026-09-20T00:00:00.000Z</x:v>
      </x:c>
      <x:c r="C73" s="4" t="str">
        <x:v>13:58</x:v>
      </x:c>
      <x:c r="D73" s="4" t="str">
        <x:v>카페 온담</x:v>
      </x:c>
      <x:c r="E73" s="4" t="str">
        <x:v>카드</x:v>
      </x:c>
      <x:c r="F73" s="16" t="n">
        <x:f>COUNTIFS('상품'!$B$6:$B$225,A73)</x:f>
        <x:v>2</x:v>
      </x:c>
      <x:c r="G73" s="16" t="n">
        <x:f>SUMIFS('상품'!$G$6:$G$225,'상품'!$B$6:$B$225,A73)</x:f>
        <x:v>2</x:v>
      </x:c>
      <x:c r="H73" s="16" t="n">
        <x:f>SUMIFS('상품'!$I$6:$I$225,'상품'!$B$6:$B$225,A73)</x:f>
        <x:v>13000</x:v>
      </x:c>
      <x:c r="I73" s="16" t="n">
        <x:f>SUMIFS('상품'!$J$6:$J$225,'상품'!$B$6:$B$225,A73)</x:f>
        <x:v>0</x:v>
      </x:c>
      <x:c r="J73" s="16" t="n">
        <x:f>SUMIFS('상품'!$K$6:$K$225,'상품'!$B$6:$B$225,A73)</x:f>
        <x:v>13000</x:v>
      </x:c>
      <x:c r="K73" s="4" t="str">
        <x:v>POS_C</x:v>
      </x:c>
      <x:c r="L73" s="4" t="str">
        <x:v>receipts/R068.pdf</x:v>
      </x:c>
      <x:c r="M73" s="4" t="str">
        <x:v>정제완료</x:v>
      </x:c>
      <x:c r="N73" s="4" t="str"/>
      <x:c r="O73" s="16" t="n">
        <x:v>13000</x:v>
      </x:c>
      <x:c r="P73" s="16" t="n">
        <x:f>J73-O73</x:f>
        <x:v>0</x:v>
      </x:c>
    </x:row>
    <x:row r="74" ht="23" customHeight="1">
      <x:c r="A74" s="11" t="str">
        <x:v>R069</x:v>
      </x:c>
      <x:c r="B74" s="13" t="d">
        <x:v>2026-09-20T00:00:00.000Z</x:v>
      </x:c>
      <x:c r="C74" s="11" t="str">
        <x:v>14:52</x:v>
      </x:c>
      <x:c r="D74" s="11" t="str">
        <x:v>카페 온담</x:v>
      </x:c>
      <x:c r="E74" s="11" t="str">
        <x:v>카드</x:v>
      </x:c>
      <x:c r="F74" s="15" t="n">
        <x:f>COUNTIFS('상품'!$B$6:$B$225,A74)</x:f>
        <x:v>2</x:v>
      </x:c>
      <x:c r="G74" s="15" t="n">
        <x:f>SUMIFS('상품'!$G$6:$G$225,'상품'!$B$6:$B$225,A74)</x:f>
        <x:v>2</x:v>
      </x:c>
      <x:c r="H74" s="15" t="n">
        <x:f>SUMIFS('상품'!$I$6:$I$225,'상품'!$B$6:$B$225,A74)</x:f>
        <x:v>9000</x:v>
      </x:c>
      <x:c r="I74" s="15" t="n">
        <x:f>SUMIFS('상품'!$J$6:$J$225,'상품'!$B$6:$B$225,A74)</x:f>
        <x:v>0</x:v>
      </x:c>
      <x:c r="J74" s="15" t="n">
        <x:f>SUMIFS('상품'!$K$6:$K$225,'상품'!$B$6:$B$225,A74)</x:f>
        <x:v>9000</x:v>
      </x:c>
      <x:c r="K74" s="11" t="str">
        <x:v>POS_D</x:v>
      </x:c>
      <x:c r="L74" s="11" t="str">
        <x:v>receipts/R069.pdf</x:v>
      </x:c>
      <x:c r="M74" s="11" t="str">
        <x:v>정제완료</x:v>
      </x:c>
      <x:c r="N74" s="11" t="str"/>
      <x:c r="O74" s="15" t="n">
        <x:v>9000</x:v>
      </x:c>
      <x:c r="P74" s="15" t="n">
        <x:f>J74-O74</x:f>
        <x:v>0</x:v>
      </x:c>
    </x:row>
    <x:row r="75" ht="23" customHeight="1">
      <x:c r="A75" s="4" t="str">
        <x:v>R070</x:v>
      </x:c>
      <x:c r="B75" s="14" t="d">
        <x:v>2026-09-20T00:00:00.000Z</x:v>
      </x:c>
      <x:c r="C75" s="4" t="str">
        <x:v>15:26</x:v>
      </x:c>
      <x:c r="D75" s="4" t="str">
        <x:v>카페 온담</x:v>
      </x:c>
      <x:c r="E75" s="4" t="str">
        <x:v>카드</x:v>
      </x:c>
      <x:c r="F75" s="16" t="n">
        <x:f>COUNTIFS('상품'!$B$6:$B$225,A75)</x:f>
        <x:v>1</x:v>
      </x:c>
      <x:c r="G75" s="16" t="n">
        <x:f>SUMIFS('상품'!$G$6:$G$225,'상품'!$B$6:$B$225,A75)</x:f>
        <x:v>1</x:v>
      </x:c>
      <x:c r="H75" s="16" t="n">
        <x:f>SUMIFS('상품'!$I$6:$I$225,'상품'!$B$6:$B$225,A75)</x:f>
        <x:v>4500</x:v>
      </x:c>
      <x:c r="I75" s="16" t="n">
        <x:f>SUMIFS('상품'!$J$6:$J$225,'상품'!$B$6:$B$225,A75)</x:f>
        <x:v>0</x:v>
      </x:c>
      <x:c r="J75" s="16" t="n">
        <x:f>SUMIFS('상품'!$K$6:$K$225,'상품'!$B$6:$B$225,A75)</x:f>
        <x:v>4500</x:v>
      </x:c>
      <x:c r="K75" s="4" t="str">
        <x:v>POS_E</x:v>
      </x:c>
      <x:c r="L75" s="4" t="str">
        <x:v>receipts/R070.pdf</x:v>
      </x:c>
      <x:c r="M75" s="4" t="str">
        <x:v>정제완료</x:v>
      </x:c>
      <x:c r="N75" s="4" t="str"/>
      <x:c r="O75" s="16" t="n">
        <x:v>4500</x:v>
      </x:c>
      <x:c r="P75" s="16" t="n">
        <x:f>J75-O75</x:f>
        <x:v>0</x:v>
      </x:c>
    </x:row>
    <x:row r="76" ht="23" customHeight="1">
      <x:c r="A76" s="11" t="str">
        <x:v>R071</x:v>
      </x:c>
      <x:c r="B76" s="13" t="d">
        <x:v>2026-09-21T00:00:00.000Z</x:v>
      </x:c>
      <x:c r="C76" s="11" t="str">
        <x:v>10:15</x:v>
      </x:c>
      <x:c r="D76" s="11" t="str">
        <x:v>카페 온담</x:v>
      </x:c>
      <x:c r="E76" s="11" t="str">
        <x:v>간편결제</x:v>
      </x:c>
      <x:c r="F76" s="15" t="n">
        <x:f>COUNTIFS('상품'!$B$6:$B$225,A76)</x:f>
        <x:v>4</x:v>
      </x:c>
      <x:c r="G76" s="15" t="n">
        <x:f>SUMIFS('상품'!$G$6:$G$225,'상품'!$B$6:$B$225,A76)</x:f>
        <x:v>6</x:v>
      </x:c>
      <x:c r="H76" s="15" t="n">
        <x:f>SUMIFS('상품'!$I$6:$I$225,'상품'!$B$6:$B$225,A76)</x:f>
        <x:v>29900</x:v>
      </x:c>
      <x:c r="I76" s="15" t="n">
        <x:f>SUMIFS('상품'!$J$6:$J$225,'상품'!$B$6:$B$225,A76)</x:f>
        <x:v>2000</x:v>
      </x:c>
      <x:c r="J76" s="15" t="n">
        <x:f>SUMIFS('상품'!$K$6:$K$225,'상품'!$B$6:$B$225,A76)</x:f>
        <x:v>27900</x:v>
      </x:c>
      <x:c r="K76" s="11" t="str">
        <x:v>POS_A</x:v>
      </x:c>
      <x:c r="L76" s="11" t="str">
        <x:v>receipts/R071.pdf</x:v>
      </x:c>
      <x:c r="M76" s="11" t="str">
        <x:v>정제완료</x:v>
      </x:c>
      <x:c r="N76" s="11" t="str"/>
      <x:c r="O76" s="15" t="n">
        <x:v>27900</x:v>
      </x:c>
      <x:c r="P76" s="15" t="n">
        <x:f>J76-O76</x:f>
        <x:v>0</x:v>
      </x:c>
    </x:row>
    <x:row r="77" ht="23" customHeight="1">
      <x:c r="A77" s="4" t="str">
        <x:v>R072</x:v>
      </x:c>
      <x:c r="B77" s="14" t="d">
        <x:v>2026-09-21T00:00:00.000Z</x:v>
      </x:c>
      <x:c r="C77" s="4" t="str">
        <x:v>11:24</x:v>
      </x:c>
      <x:c r="D77" s="4" t="str">
        <x:v>카페 온담</x:v>
      </x:c>
      <x:c r="E77" s="4" t="str">
        <x:v>카드</x:v>
      </x:c>
      <x:c r="F77" s="16" t="n">
        <x:f>COUNTIFS('상품'!$B$6:$B$225,A77)</x:f>
        <x:v>3</x:v>
      </x:c>
      <x:c r="G77" s="16" t="n">
        <x:f>SUMIFS('상품'!$G$6:$G$225,'상품'!$B$6:$B$225,A77)</x:f>
        <x:v>4</x:v>
      </x:c>
      <x:c r="H77" s="16" t="n">
        <x:f>SUMIFS('상품'!$I$6:$I$225,'상품'!$B$6:$B$225,A77)</x:f>
        <x:v>15300</x:v>
      </x:c>
      <x:c r="I77" s="16" t="n">
        <x:f>SUMIFS('상품'!$J$6:$J$225,'상품'!$B$6:$B$225,A77)</x:f>
        <x:v>0</x:v>
      </x:c>
      <x:c r="J77" s="16" t="n">
        <x:f>SUMIFS('상품'!$K$6:$K$225,'상품'!$B$6:$B$225,A77)</x:f>
        <x:v>15300</x:v>
      </x:c>
      <x:c r="K77" s="4" t="str">
        <x:v>POS_B</x:v>
      </x:c>
      <x:c r="L77" s="4" t="str">
        <x:v>receipts/R072.pdf</x:v>
      </x:c>
      <x:c r="M77" s="4" t="str">
        <x:v>정제완료</x:v>
      </x:c>
      <x:c r="N77" s="4" t="str"/>
      <x:c r="O77" s="16" t="n">
        <x:v>15300</x:v>
      </x:c>
      <x:c r="P77" s="16" t="n">
        <x:f>J77-O77</x:f>
        <x:v>0</x:v>
      </x:c>
    </x:row>
    <x:row r="78" ht="23" customHeight="1">
      <x:c r="A78" s="11" t="str">
        <x:v>R073</x:v>
      </x:c>
      <x:c r="B78" s="13" t="d">
        <x:v>2026-09-21T00:00:00.000Z</x:v>
      </x:c>
      <x:c r="C78" s="11" t="str">
        <x:v>19:35</x:v>
      </x:c>
      <x:c r="D78" s="11" t="str">
        <x:v>카페 온담</x:v>
      </x:c>
      <x:c r="E78" s="11" t="str">
        <x:v>현금</x:v>
      </x:c>
      <x:c r="F78" s="15" t="n">
        <x:f>COUNTIFS('상품'!$B$6:$B$225,A78)</x:f>
        <x:v>2</x:v>
      </x:c>
      <x:c r="G78" s="15" t="n">
        <x:f>SUMIFS('상품'!$G$6:$G$225,'상품'!$B$6:$B$225,A78)</x:f>
        <x:v>3</x:v>
      </x:c>
      <x:c r="H78" s="15" t="n">
        <x:f>SUMIFS('상품'!$I$6:$I$225,'상품'!$B$6:$B$225,A78)</x:f>
        <x:v>15500</x:v>
      </x:c>
      <x:c r="I78" s="15" t="n">
        <x:f>SUMIFS('상품'!$J$6:$J$225,'상품'!$B$6:$B$225,A78)</x:f>
        <x:v>0</x:v>
      </x:c>
      <x:c r="J78" s="15" t="n">
        <x:f>SUMIFS('상품'!$K$6:$K$225,'상품'!$B$6:$B$225,A78)</x:f>
        <x:v>15500</x:v>
      </x:c>
      <x:c r="K78" s="11" t="str">
        <x:v>POS_C</x:v>
      </x:c>
      <x:c r="L78" s="11" t="str">
        <x:v>receipts/R073.pdf</x:v>
      </x:c>
      <x:c r="M78" s="11" t="str">
        <x:v>정제완료</x:v>
      </x:c>
      <x:c r="N78" s="11" t="str"/>
      <x:c r="O78" s="15" t="n">
        <x:v>15500</x:v>
      </x:c>
      <x:c r="P78" s="15" t="n">
        <x:f>J78-O78</x:f>
        <x:v>0</x:v>
      </x:c>
    </x:row>
    <x:row r="79" ht="23" customHeight="1">
      <x:c r="A79" s="4" t="str">
        <x:v>R074</x:v>
      </x:c>
      <x:c r="B79" s="14" t="d">
        <x:v>2026-09-22T00:00:00.000Z</x:v>
      </x:c>
      <x:c r="C79" s="4" t="str">
        <x:v>15:07</x:v>
      </x:c>
      <x:c r="D79" s="4" t="str">
        <x:v>카페 온담</x:v>
      </x:c>
      <x:c r="E79" s="4" t="str">
        <x:v>현금</x:v>
      </x:c>
      <x:c r="F79" s="16" t="n">
        <x:f>COUNTIFS('상품'!$B$6:$B$225,A79)</x:f>
        <x:v>3</x:v>
      </x:c>
      <x:c r="G79" s="16" t="n">
        <x:f>SUMIFS('상품'!$G$6:$G$225,'상품'!$B$6:$B$225,A79)</x:f>
        <x:v>3</x:v>
      </x:c>
      <x:c r="H79" s="16" t="n">
        <x:f>SUMIFS('상품'!$I$6:$I$225,'상품'!$B$6:$B$225,A79)</x:f>
        <x:v>15200</x:v>
      </x:c>
      <x:c r="I79" s="16" t="n">
        <x:f>SUMIFS('상품'!$J$6:$J$225,'상품'!$B$6:$B$225,A79)</x:f>
        <x:v>0</x:v>
      </x:c>
      <x:c r="J79" s="16" t="n">
        <x:f>SUMIFS('상품'!$K$6:$K$225,'상품'!$B$6:$B$225,A79)</x:f>
        <x:v>15200</x:v>
      </x:c>
      <x:c r="K79" s="4" t="str">
        <x:v>POS_D</x:v>
      </x:c>
      <x:c r="L79" s="4" t="str">
        <x:v>receipts/R074.pdf</x:v>
      </x:c>
      <x:c r="M79" s="4" t="str">
        <x:v>정제완료</x:v>
      </x:c>
      <x:c r="N79" s="4" t="str"/>
      <x:c r="O79" s="16" t="n">
        <x:v>15200</x:v>
      </x:c>
      <x:c r="P79" s="16" t="n">
        <x:f>J79-O79</x:f>
        <x:v>0</x:v>
      </x:c>
    </x:row>
    <x:row r="80" ht="23" customHeight="1">
      <x:c r="A80" s="11" t="str">
        <x:v>R075</x:v>
      </x:c>
      <x:c r="B80" s="13" t="d">
        <x:v>2026-09-22T00:00:00.000Z</x:v>
      </x:c>
      <x:c r="C80" s="11" t="str">
        <x:v>16:31</x:v>
      </x:c>
      <x:c r="D80" s="11" t="str">
        <x:v>카페 온담</x:v>
      </x:c>
      <x:c r="E80" s="11" t="str">
        <x:v>미확인</x:v>
      </x:c>
      <x:c r="F80" s="15" t="n">
        <x:f>COUNTIFS('상품'!$B$6:$B$225,A80)</x:f>
        <x:v>3</x:v>
      </x:c>
      <x:c r="G80" s="15" t="n">
        <x:f>SUMIFS('상품'!$G$6:$G$225,'상품'!$B$6:$B$225,A80)</x:f>
        <x:v>3</x:v>
      </x:c>
      <x:c r="H80" s="15" t="n">
        <x:f>SUMIFS('상품'!$I$6:$I$225,'상품'!$B$6:$B$225,A80)</x:f>
        <x:v>17000</x:v>
      </x:c>
      <x:c r="I80" s="15" t="n">
        <x:f>SUMIFS('상품'!$J$6:$J$225,'상품'!$B$6:$B$225,A80)</x:f>
        <x:v>1000</x:v>
      </x:c>
      <x:c r="J80" s="15" t="n">
        <x:f>SUMIFS('상품'!$K$6:$K$225,'상품'!$B$6:$B$225,A80)</x:f>
        <x:v>16000</x:v>
      </x:c>
      <x:c r="K80" s="11" t="str">
        <x:v>POS_E</x:v>
      </x:c>
      <x:c r="L80" s="11" t="str">
        <x:v>receipts/R075.pdf</x:v>
      </x:c>
      <x:c r="M80" s="11" t="str">
        <x:v>정제완료_일부정보미확인</x:v>
      </x:c>
      <x:c r="N80" s="11" t="str">
        <x:v>MISSING_PAYMENT</x:v>
      </x:c>
      <x:c r="O80" s="15" t="n">
        <x:v>16000</x:v>
      </x:c>
      <x:c r="P80" s="15" t="n">
        <x:f>J80-O80</x:f>
        <x:v>0</x:v>
      </x:c>
    </x:row>
    <x:row r="81" ht="23" customHeight="1">
      <x:c r="A81" s="4" t="str">
        <x:v>R076</x:v>
      </x:c>
      <x:c r="B81" s="14" t="d">
        <x:v>2026-09-23T00:00:00.000Z</x:v>
      </x:c>
      <x:c r="C81" s="4" t="str">
        <x:v>09:35</x:v>
      </x:c>
      <x:c r="D81" s="4" t="str">
        <x:v>카페 온담</x:v>
      </x:c>
      <x:c r="E81" s="4" t="str">
        <x:v>간편결제</x:v>
      </x:c>
      <x:c r="F81" s="16" t="n">
        <x:f>COUNTIFS('상품'!$B$6:$B$225,A81)</x:f>
        <x:v>2</x:v>
      </x:c>
      <x:c r="G81" s="16" t="n">
        <x:f>SUMIFS('상품'!$G$6:$G$225,'상품'!$B$6:$B$225,A81)</x:f>
        <x:v>2</x:v>
      </x:c>
      <x:c r="H81" s="16" t="n">
        <x:f>SUMIFS('상품'!$I$6:$I$225,'상품'!$B$6:$B$225,A81)</x:f>
        <x:v>8000</x:v>
      </x:c>
      <x:c r="I81" s="16" t="n">
        <x:f>SUMIFS('상품'!$J$6:$J$225,'상품'!$B$6:$B$225,A81)</x:f>
        <x:v>300</x:v>
      </x:c>
      <x:c r="J81" s="16" t="n">
        <x:f>SUMIFS('상품'!$K$6:$K$225,'상품'!$B$6:$B$225,A81)</x:f>
        <x:v>7700</x:v>
      </x:c>
      <x:c r="K81" s="4" t="str">
        <x:v>POS_A</x:v>
      </x:c>
      <x:c r="L81" s="4" t="str">
        <x:v>receipts/R076.pdf</x:v>
      </x:c>
      <x:c r="M81" s="4" t="str">
        <x:v>정제완료</x:v>
      </x:c>
      <x:c r="N81" s="4" t="str"/>
      <x:c r="O81" s="16" t="n">
        <x:v>7700</x:v>
      </x:c>
      <x:c r="P81" s="16" t="n">
        <x:f>J81-O81</x:f>
        <x:v>0</x:v>
      </x:c>
    </x:row>
    <x:row r="82" ht="23" customHeight="1">
      <x:c r="A82" s="11" t="str">
        <x:v>R077</x:v>
      </x:c>
      <x:c r="B82" s="13" t="d">
        <x:v>2026-09-23T00:00:00.000Z</x:v>
      </x:c>
      <x:c r="C82" s="11" t="str">
        <x:v>11:01</x:v>
      </x:c>
      <x:c r="D82" s="11" t="str">
        <x:v>카페 온담</x:v>
      </x:c>
      <x:c r="E82" s="11" t="str">
        <x:v>카드</x:v>
      </x:c>
      <x:c r="F82" s="15" t="n">
        <x:f>COUNTIFS('상품'!$B$6:$B$225,A82)</x:f>
        <x:v>2</x:v>
      </x:c>
      <x:c r="G82" s="15" t="n">
        <x:f>SUMIFS('상품'!$G$6:$G$225,'상품'!$B$6:$B$225,A82)</x:f>
        <x:v>2</x:v>
      </x:c>
      <x:c r="H82" s="15" t="n">
        <x:f>SUMIFS('상품'!$I$6:$I$225,'상품'!$B$6:$B$225,A82)</x:f>
        <x:v>12000</x:v>
      </x:c>
      <x:c r="I82" s="15" t="n">
        <x:f>SUMIFS('상품'!$J$6:$J$225,'상품'!$B$6:$B$225,A82)</x:f>
        <x:v>0</x:v>
      </x:c>
      <x:c r="J82" s="15" t="n">
        <x:f>SUMIFS('상품'!$K$6:$K$225,'상품'!$B$6:$B$225,A82)</x:f>
        <x:v>12000</x:v>
      </x:c>
      <x:c r="K82" s="11" t="str">
        <x:v>POS_B</x:v>
      </x:c>
      <x:c r="L82" s="11" t="str">
        <x:v>receipts/R077.pdf</x:v>
      </x:c>
      <x:c r="M82" s="11" t="str">
        <x:v>정제완료</x:v>
      </x:c>
      <x:c r="N82" s="11" t="str"/>
      <x:c r="O82" s="15" t="n">
        <x:v>12000</x:v>
      </x:c>
      <x:c r="P82" s="15" t="n">
        <x:f>J82-O82</x:f>
        <x:v>0</x:v>
      </x:c>
    </x:row>
    <x:row r="83" ht="23" customHeight="1">
      <x:c r="A83" s="4" t="str">
        <x:v>R078</x:v>
      </x:c>
      <x:c r="B83" s="14" t="d">
        <x:v>2026-09-23T00:00:00.000Z</x:v>
      </x:c>
      <x:c r="C83" s="4" t="str">
        <x:v>20:40</x:v>
      </x:c>
      <x:c r="D83" s="4" t="str">
        <x:v>카페 온담</x:v>
      </x:c>
      <x:c r="E83" s="4" t="str">
        <x:v>카드</x:v>
      </x:c>
      <x:c r="F83" s="16" t="n">
        <x:f>COUNTIFS('상품'!$B$6:$B$225,A83)</x:f>
        <x:v>2</x:v>
      </x:c>
      <x:c r="G83" s="16" t="n">
        <x:f>SUMIFS('상품'!$G$6:$G$225,'상품'!$B$6:$B$225,A83)</x:f>
        <x:v>2</x:v>
      </x:c>
      <x:c r="H83" s="16" t="n">
        <x:f>SUMIFS('상품'!$I$6:$I$225,'상품'!$B$6:$B$225,A83)</x:f>
        <x:v>12000</x:v>
      </x:c>
      <x:c r="I83" s="16" t="n">
        <x:f>SUMIFS('상품'!$J$6:$J$225,'상품'!$B$6:$B$225,A83)</x:f>
        <x:v>0</x:v>
      </x:c>
      <x:c r="J83" s="16" t="n">
        <x:f>SUMIFS('상품'!$K$6:$K$225,'상품'!$B$6:$B$225,A83)</x:f>
        <x:v>12000</x:v>
      </x:c>
      <x:c r="K83" s="4" t="str">
        <x:v>POS_C</x:v>
      </x:c>
      <x:c r="L83" s="4" t="str">
        <x:v>receipts/R078.pdf</x:v>
      </x:c>
      <x:c r="M83" s="4" t="str">
        <x:v>정제완료</x:v>
      </x:c>
      <x:c r="N83" s="4" t="str"/>
      <x:c r="O83" s="16" t="n">
        <x:v>12000</x:v>
      </x:c>
      <x:c r="P83" s="16" t="n">
        <x:f>J83-O83</x:f>
        <x:v>0</x:v>
      </x:c>
    </x:row>
    <x:row r="84" ht="23" customHeight="1">
      <x:c r="A84" s="11" t="str">
        <x:v>R079</x:v>
      </x:c>
      <x:c r="B84" s="13" t="d">
        <x:v>2026-09-24T00:00:00.000Z</x:v>
      </x:c>
      <x:c r="C84" s="11" t="str">
        <x:v>13:01</x:v>
      </x:c>
      <x:c r="D84" s="11" t="str">
        <x:v>카페 온담</x:v>
      </x:c>
      <x:c r="E84" s="11" t="str">
        <x:v>카드</x:v>
      </x:c>
      <x:c r="F84" s="15" t="n">
        <x:f>COUNTIFS('상품'!$B$6:$B$225,A84)</x:f>
        <x:v>3</x:v>
      </x:c>
      <x:c r="G84" s="15" t="n">
        <x:f>SUMIFS('상품'!$G$6:$G$225,'상품'!$B$6:$B$225,A84)</x:f>
        <x:v>3</x:v>
      </x:c>
      <x:c r="H84" s="15" t="n">
        <x:f>SUMIFS('상품'!$I$6:$I$225,'상품'!$B$6:$B$225,A84)</x:f>
        <x:v>16200</x:v>
      </x:c>
      <x:c r="I84" s="15" t="n">
        <x:f>SUMIFS('상품'!$J$6:$J$225,'상품'!$B$6:$B$225,A84)</x:f>
        <x:v>0</x:v>
      </x:c>
      <x:c r="J84" s="15" t="n">
        <x:f>SUMIFS('상품'!$K$6:$K$225,'상품'!$B$6:$B$225,A84)</x:f>
        <x:v>16200</x:v>
      </x:c>
      <x:c r="K84" s="11" t="str">
        <x:v>POS_D</x:v>
      </x:c>
      <x:c r="L84" s="11" t="str">
        <x:v>receipts/R079.pdf</x:v>
      </x:c>
      <x:c r="M84" s="11" t="str">
        <x:v>정제완료</x:v>
      </x:c>
      <x:c r="N84" s="11" t="str"/>
      <x:c r="O84" s="15" t="n">
        <x:v>16200</x:v>
      </x:c>
      <x:c r="P84" s="15" t="n">
        <x:f>J84-O84</x:f>
        <x:v>0</x:v>
      </x:c>
    </x:row>
    <x:row r="85" ht="23" customHeight="1">
      <x:c r="A85" s="4" t="str">
        <x:v>R080</x:v>
      </x:c>
      <x:c r="B85" s="14" t="d">
        <x:v>2026-09-24T00:00:00.000Z</x:v>
      </x:c>
      <x:c r="C85" s="4" t="str">
        <x:v>19:00</x:v>
      </x:c>
      <x:c r="D85" s="4" t="str">
        <x:v>카페 온담</x:v>
      </x:c>
      <x:c r="E85" s="4" t="str">
        <x:v>간편결제</x:v>
      </x:c>
      <x:c r="F85" s="16" t="n">
        <x:f>COUNTIFS('상품'!$B$6:$B$225,A85)</x:f>
        <x:v>3</x:v>
      </x:c>
      <x:c r="G85" s="16" t="n">
        <x:f>SUMIFS('상품'!$G$6:$G$225,'상품'!$B$6:$B$225,A85)</x:f>
        <x:v>4</x:v>
      </x:c>
      <x:c r="H85" s="16" t="n">
        <x:f>SUMIFS('상품'!$I$6:$I$225,'상품'!$B$6:$B$225,A85)</x:f>
        <x:v>23000</x:v>
      </x:c>
      <x:c r="I85" s="16" t="n">
        <x:f>SUMIFS('상품'!$J$6:$J$225,'상품'!$B$6:$B$225,A85)</x:f>
        <x:v>0</x:v>
      </x:c>
      <x:c r="J85" s="16" t="n">
        <x:f>SUMIFS('상품'!$K$6:$K$225,'상품'!$B$6:$B$225,A85)</x:f>
        <x:v>23000</x:v>
      </x:c>
      <x:c r="K85" s="4" t="str">
        <x:v>POS_E</x:v>
      </x:c>
      <x:c r="L85" s="4" t="str">
        <x:v>receipts/R080.pdf</x:v>
      </x:c>
      <x:c r="M85" s="4" t="str">
        <x:v>정제완료</x:v>
      </x:c>
      <x:c r="N85" s="4" t="str"/>
      <x:c r="O85" s="16" t="n">
        <x:v>23000</x:v>
      </x:c>
      <x:c r="P85" s="16" t="n">
        <x:f>J85-O85</x:f>
        <x:v>0</x:v>
      </x:c>
    </x:row>
    <x:row r="86" ht="23" customHeight="1">
      <x:c r="A86" s="11" t="str">
        <x:v>R081</x:v>
      </x:c>
      <x:c r="B86" s="13" t="d">
        <x:v>2026-09-24T00:00:00.000Z</x:v>
      </x:c>
      <x:c r="C86" s="11" t="str">
        <x:v>19:16</x:v>
      </x:c>
      <x:c r="D86" s="11" t="str">
        <x:v>카페 온담</x:v>
      </x:c>
      <x:c r="E86" s="11" t="str">
        <x:v>카드</x:v>
      </x:c>
      <x:c r="F86" s="15" t="n">
        <x:f>COUNTIFS('상품'!$B$6:$B$225,A86)</x:f>
        <x:v>1</x:v>
      </x:c>
      <x:c r="G86" s="15" t="n">
        <x:f>SUMIFS('상품'!$G$6:$G$225,'상품'!$B$6:$B$225,A86)</x:f>
        <x:v>2</x:v>
      </x:c>
      <x:c r="H86" s="15" t="n">
        <x:f>SUMIFS('상품'!$I$6:$I$225,'상품'!$B$6:$B$225,A86)</x:f>
        <x:v>9000</x:v>
      </x:c>
      <x:c r="I86" s="15" t="n">
        <x:f>SUMIFS('상품'!$J$6:$J$225,'상품'!$B$6:$B$225,A86)</x:f>
        <x:v>0</x:v>
      </x:c>
      <x:c r="J86" s="15" t="n">
        <x:f>SUMIFS('상품'!$K$6:$K$225,'상품'!$B$6:$B$225,A86)</x:f>
        <x:v>9000</x:v>
      </x:c>
      <x:c r="K86" s="11" t="str">
        <x:v>POS_A</x:v>
      </x:c>
      <x:c r="L86" s="11" t="str">
        <x:v>receipts/R081.pdf</x:v>
      </x:c>
      <x:c r="M86" s="11" t="str">
        <x:v>정제완료</x:v>
      </x:c>
      <x:c r="N86" s="11" t="str"/>
      <x:c r="O86" s="15" t="n">
        <x:v>9000</x:v>
      </x:c>
      <x:c r="P86" s="15" t="n">
        <x:f>J86-O86</x:f>
        <x:v>0</x:v>
      </x:c>
    </x:row>
    <x:row r="87" ht="23" customHeight="1">
      <x:c r="A87" s="4" t="str">
        <x:v>R082</x:v>
      </x:c>
      <x:c r="B87" s="14" t="d">
        <x:v>2026-09-25T00:00:00.000Z</x:v>
      </x:c>
      <x:c r="C87" s="4" t="str">
        <x:v>09:39</x:v>
      </x:c>
      <x:c r="D87" s="4" t="str">
        <x:v>카페 온담</x:v>
      </x:c>
      <x:c r="E87" s="4" t="str">
        <x:v>간편결제</x:v>
      </x:c>
      <x:c r="F87" s="16" t="n">
        <x:f>COUNTIFS('상품'!$B$6:$B$225,A87)</x:f>
        <x:v>3</x:v>
      </x:c>
      <x:c r="G87" s="16" t="n">
        <x:f>SUMIFS('상품'!$G$6:$G$225,'상품'!$B$6:$B$225,A87)</x:f>
        <x:v>4</x:v>
      </x:c>
      <x:c r="H87" s="16" t="n">
        <x:f>SUMIFS('상품'!$I$6:$I$225,'상품'!$B$6:$B$225,A87)</x:f>
        <x:v>21000</x:v>
      </x:c>
      <x:c r="I87" s="16" t="n">
        <x:f>SUMIFS('상품'!$J$6:$J$225,'상품'!$B$6:$B$225,A87)</x:f>
        <x:v>500</x:v>
      </x:c>
      <x:c r="J87" s="16" t="n">
        <x:f>SUMIFS('상품'!$K$6:$K$225,'상품'!$B$6:$B$225,A87)</x:f>
        <x:v>20500</x:v>
      </x:c>
      <x:c r="K87" s="4" t="str">
        <x:v>POS_B</x:v>
      </x:c>
      <x:c r="L87" s="4" t="str">
        <x:v>receipts/R082.pdf</x:v>
      </x:c>
      <x:c r="M87" s="4" t="str">
        <x:v>정제완료</x:v>
      </x:c>
      <x:c r="N87" s="4" t="str"/>
      <x:c r="O87" s="16" t="n">
        <x:v>20500</x:v>
      </x:c>
      <x:c r="P87" s="16" t="n">
        <x:f>J87-O87</x:f>
        <x:v>0</x:v>
      </x:c>
    </x:row>
    <x:row r="88" ht="23" customHeight="1">
      <x:c r="A88" s="11" t="str">
        <x:v>R083</x:v>
      </x:c>
      <x:c r="B88" s="13" t="d">
        <x:v>2026-09-25T00:00:00.000Z</x:v>
      </x:c>
      <x:c r="C88" s="11" t="str">
        <x:v>13:40</x:v>
      </x:c>
      <x:c r="D88" s="11" t="str">
        <x:v>카페 온담</x:v>
      </x:c>
      <x:c r="E88" s="11" t="str">
        <x:v>카드</x:v>
      </x:c>
      <x:c r="F88" s="15" t="n">
        <x:f>COUNTIFS('상품'!$B$6:$B$225,A88)</x:f>
        <x:v>2</x:v>
      </x:c>
      <x:c r="G88" s="15" t="n">
        <x:f>SUMIFS('상품'!$G$6:$G$225,'상품'!$B$6:$B$225,A88)</x:f>
        <x:v>2</x:v>
      </x:c>
      <x:c r="H88" s="15" t="n">
        <x:f>SUMIFS('상품'!$I$6:$I$225,'상품'!$B$6:$B$225,A88)</x:f>
        <x:v>8700</x:v>
      </x:c>
      <x:c r="I88" s="15" t="n">
        <x:f>SUMIFS('상품'!$J$6:$J$225,'상품'!$B$6:$B$225,A88)</x:f>
        <x:v>0</x:v>
      </x:c>
      <x:c r="J88" s="15" t="n">
        <x:f>SUMIFS('상품'!$K$6:$K$225,'상품'!$B$6:$B$225,A88)</x:f>
        <x:v>8700</x:v>
      </x:c>
      <x:c r="K88" s="11" t="str">
        <x:v>POS_C</x:v>
      </x:c>
      <x:c r="L88" s="11" t="str">
        <x:v>receipts/R083.pdf</x:v>
      </x:c>
      <x:c r="M88" s="11" t="str">
        <x:v>정제완료</x:v>
      </x:c>
      <x:c r="N88" s="11" t="str"/>
      <x:c r="O88" s="15" t="n">
        <x:v>8700</x:v>
      </x:c>
      <x:c r="P88" s="15" t="n">
        <x:f>J88-O88</x:f>
        <x:v>0</x:v>
      </x:c>
    </x:row>
    <x:row r="89" ht="23" customHeight="1">
      <x:c r="A89" s="4" t="str">
        <x:v>R084</x:v>
      </x:c>
      <x:c r="B89" s="14" t="d">
        <x:v>2026-09-25T00:00:00.000Z</x:v>
      </x:c>
      <x:c r="C89" s="4" t="str">
        <x:v>15:15</x:v>
      </x:c>
      <x:c r="D89" s="4" t="str">
        <x:v>카페 온담</x:v>
      </x:c>
      <x:c r="E89" s="4" t="str">
        <x:v>카드</x:v>
      </x:c>
      <x:c r="F89" s="16" t="n">
        <x:f>COUNTIFS('상품'!$B$6:$B$225,A89)</x:f>
        <x:v>1</x:v>
      </x:c>
      <x:c r="G89" s="16" t="n">
        <x:f>SUMIFS('상품'!$G$6:$G$225,'상품'!$B$6:$B$225,A89)</x:f>
        <x:v>2</x:v>
      </x:c>
      <x:c r="H89" s="16" t="n">
        <x:f>SUMIFS('상품'!$I$6:$I$225,'상품'!$B$6:$B$225,A89)</x:f>
        <x:v>9000</x:v>
      </x:c>
      <x:c r="I89" s="16" t="n">
        <x:f>SUMIFS('상품'!$J$6:$J$225,'상품'!$B$6:$B$225,A89)</x:f>
        <x:v>0</x:v>
      </x:c>
      <x:c r="J89" s="16" t="n">
        <x:f>SUMIFS('상품'!$K$6:$K$225,'상품'!$B$6:$B$225,A89)</x:f>
        <x:v>9000</x:v>
      </x:c>
      <x:c r="K89" s="4" t="str">
        <x:v>POS_D</x:v>
      </x:c>
      <x:c r="L89" s="4" t="str">
        <x:v>receipts/R084.pdf</x:v>
      </x:c>
      <x:c r="M89" s="4" t="str">
        <x:v>정제완료</x:v>
      </x:c>
      <x:c r="N89" s="4" t="str"/>
      <x:c r="O89" s="16" t="n">
        <x:v>9000</x:v>
      </x:c>
      <x:c r="P89" s="16" t="n">
        <x:f>J89-O89</x:f>
        <x:v>0</x:v>
      </x:c>
    </x:row>
    <x:row r="90" ht="23" customHeight="1">
      <x:c r="A90" s="11" t="str">
        <x:v>R085</x:v>
      </x:c>
      <x:c r="B90" s="13" t="d">
        <x:v>2026-09-26T00:00:00.000Z</x:v>
      </x:c>
      <x:c r="C90" s="11"/>
      <x:c r="D90" s="11" t="str">
        <x:v>카페 온담</x:v>
      </x:c>
      <x:c r="E90" s="11" t="str">
        <x:v>현금</x:v>
      </x:c>
      <x:c r="F90" s="15" t="n">
        <x:f>COUNTIFS('상품'!$B$6:$B$225,A90)</x:f>
        <x:v>2</x:v>
      </x:c>
      <x:c r="G90" s="15" t="n">
        <x:f>SUMIFS('상품'!$G$6:$G$225,'상품'!$B$6:$B$225,A90)</x:f>
        <x:v>2</x:v>
      </x:c>
      <x:c r="H90" s="15" t="n">
        <x:f>SUMIFS('상품'!$I$6:$I$225,'상품'!$B$6:$B$225,A90)</x:f>
        <x:v>10500</x:v>
      </x:c>
      <x:c r="I90" s="15" t="n">
        <x:f>SUMIFS('상품'!$J$6:$J$225,'상품'!$B$6:$B$225,A90)</x:f>
        <x:v>0</x:v>
      </x:c>
      <x:c r="J90" s="15" t="n">
        <x:f>SUMIFS('상품'!$K$6:$K$225,'상품'!$B$6:$B$225,A90)</x:f>
        <x:v>10500</x:v>
      </x:c>
      <x:c r="K90" s="11" t="str">
        <x:v>POS_E</x:v>
      </x:c>
      <x:c r="L90" s="11" t="str">
        <x:v>receipts/R085.pdf</x:v>
      </x:c>
      <x:c r="M90" s="11" t="str">
        <x:v>정제완료_일부정보미확인</x:v>
      </x:c>
      <x:c r="N90" s="11" t="str">
        <x:v>MISSING_TIME</x:v>
      </x:c>
      <x:c r="O90" s="15" t="n">
        <x:v>10500</x:v>
      </x:c>
      <x:c r="P90" s="15" t="n">
        <x:f>J90-O90</x:f>
        <x:v>0</x:v>
      </x:c>
    </x:row>
    <x:row r="91" ht="23" customHeight="1">
      <x:c r="A91" s="4" t="str">
        <x:v>R086</x:v>
      </x:c>
      <x:c r="B91" s="14" t="d">
        <x:v>2026-09-26T00:00:00.000Z</x:v>
      </x:c>
      <x:c r="C91" s="4" t="str">
        <x:v>13:30</x:v>
      </x:c>
      <x:c r="D91" s="4" t="str">
        <x:v>카페 온담</x:v>
      </x:c>
      <x:c r="E91" s="4" t="str">
        <x:v>카드</x:v>
      </x:c>
      <x:c r="F91" s="16" t="n">
        <x:f>COUNTIFS('상품'!$B$6:$B$225,A91)</x:f>
        <x:v>3</x:v>
      </x:c>
      <x:c r="G91" s="16" t="n">
        <x:f>SUMIFS('상품'!$G$6:$G$225,'상품'!$B$6:$B$225,A91)</x:f>
        <x:v>3</x:v>
      </x:c>
      <x:c r="H91" s="16" t="n">
        <x:f>SUMIFS('상품'!$I$6:$I$225,'상품'!$B$6:$B$225,A91)</x:f>
        <x:v>18500</x:v>
      </x:c>
      <x:c r="I91" s="16" t="n">
        <x:f>SUMIFS('상품'!$J$6:$J$225,'상품'!$B$6:$B$225,A91)</x:f>
        <x:v>0</x:v>
      </x:c>
      <x:c r="J91" s="16" t="n">
        <x:f>SUMIFS('상품'!$K$6:$K$225,'상품'!$B$6:$B$225,A91)</x:f>
        <x:v>18500</x:v>
      </x:c>
      <x:c r="K91" s="4" t="str">
        <x:v>POS_A</x:v>
      </x:c>
      <x:c r="L91" s="4" t="str">
        <x:v>receipts/R086.pdf</x:v>
      </x:c>
      <x:c r="M91" s="4" t="str">
        <x:v>정제완료</x:v>
      </x:c>
      <x:c r="N91" s="4" t="str"/>
      <x:c r="O91" s="16" t="n">
        <x:v>18500</x:v>
      </x:c>
      <x:c r="P91" s="16" t="n">
        <x:f>J91-O91</x:f>
        <x:v>0</x:v>
      </x:c>
    </x:row>
    <x:row r="92" ht="23" customHeight="1">
      <x:c r="A92" s="11" t="str">
        <x:v>R087</x:v>
      </x:c>
      <x:c r="B92" s="13" t="d">
        <x:v>2026-09-26T00:00:00.000Z</x:v>
      </x:c>
      <x:c r="C92" s="11" t="str">
        <x:v>15:45</x:v>
      </x:c>
      <x:c r="D92" s="11" t="str">
        <x:v>카페 온담</x:v>
      </x:c>
      <x:c r="E92" s="11" t="str">
        <x:v>카드</x:v>
      </x:c>
      <x:c r="F92" s="15" t="n">
        <x:f>COUNTIFS('상품'!$B$6:$B$225,A92)</x:f>
        <x:v>2</x:v>
      </x:c>
      <x:c r="G92" s="15" t="n">
        <x:f>SUMIFS('상품'!$G$6:$G$225,'상품'!$B$6:$B$225,A92)</x:f>
        <x:v>2</x:v>
      </x:c>
      <x:c r="H92" s="15" t="n">
        <x:f>SUMIFS('상품'!$I$6:$I$225,'상품'!$B$6:$B$225,A92)</x:f>
        <x:v>10300</x:v>
      </x:c>
      <x:c r="I92" s="15" t="n">
        <x:f>SUMIFS('상품'!$J$6:$J$225,'상품'!$B$6:$B$225,A92)</x:f>
        <x:v>0</x:v>
      </x:c>
      <x:c r="J92" s="15" t="n">
        <x:f>SUMIFS('상품'!$K$6:$K$225,'상품'!$B$6:$B$225,A92)</x:f>
        <x:v>10300</x:v>
      </x:c>
      <x:c r="K92" s="11" t="str">
        <x:v>POS_B</x:v>
      </x:c>
      <x:c r="L92" s="11" t="str">
        <x:v>receipts/R087.pdf</x:v>
      </x:c>
      <x:c r="M92" s="11" t="str">
        <x:v>정제완료</x:v>
      </x:c>
      <x:c r="N92" s="11" t="str"/>
      <x:c r="O92" s="15" t="n">
        <x:v>10300</x:v>
      </x:c>
      <x:c r="P92" s="15" t="n">
        <x:f>J92-O92</x:f>
        <x:v>0</x:v>
      </x:c>
    </x:row>
    <x:row r="93" ht="23" customHeight="1">
      <x:c r="A93" s="4" t="str">
        <x:v>R088</x:v>
      </x:c>
      <x:c r="B93" s="14" t="d">
        <x:v>2026-09-26T00:00:00.000Z</x:v>
      </x:c>
      <x:c r="C93" s="4" t="str">
        <x:v>18:14</x:v>
      </x:c>
      <x:c r="D93" s="4" t="str">
        <x:v>카페 온담</x:v>
      </x:c>
      <x:c r="E93" s="4" t="str">
        <x:v>카드</x:v>
      </x:c>
      <x:c r="F93" s="16" t="n">
        <x:f>COUNTIFS('상품'!$B$6:$B$225,A93)</x:f>
        <x:v>4</x:v>
      </x:c>
      <x:c r="G93" s="16" t="n">
        <x:f>SUMIFS('상품'!$G$6:$G$225,'상품'!$B$6:$B$225,A93)</x:f>
        <x:v>5</x:v>
      </x:c>
      <x:c r="H93" s="16" t="n">
        <x:f>SUMIFS('상품'!$I$6:$I$225,'상품'!$B$6:$B$225,A93)</x:f>
        <x:v>25500</x:v>
      </x:c>
      <x:c r="I93" s="16" t="n">
        <x:f>SUMIFS('상품'!$J$6:$J$225,'상품'!$B$6:$B$225,A93)</x:f>
        <x:v>800</x:v>
      </x:c>
      <x:c r="J93" s="16" t="n">
        <x:f>SUMIFS('상품'!$K$6:$K$225,'상품'!$B$6:$B$225,A93)</x:f>
        <x:v>24700</x:v>
      </x:c>
      <x:c r="K93" s="4" t="str">
        <x:v>POS_C</x:v>
      </x:c>
      <x:c r="L93" s="4" t="str">
        <x:v>receipts/R088.pdf</x:v>
      </x:c>
      <x:c r="M93" s="4" t="str">
        <x:v>정제완료</x:v>
      </x:c>
      <x:c r="N93" s="4" t="str"/>
      <x:c r="O93" s="16" t="n">
        <x:v>24700</x:v>
      </x:c>
      <x:c r="P93" s="16" t="n">
        <x:f>J93-O93</x:f>
        <x:v>0</x:v>
      </x:c>
    </x:row>
    <x:row r="94" ht="23" customHeight="1">
      <x:c r="A94" s="11" t="str">
        <x:v>R089</x:v>
      </x:c>
      <x:c r="B94" s="13" t="d">
        <x:v>2026-09-26T00:00:00.000Z</x:v>
      </x:c>
      <x:c r="C94" s="11" t="str">
        <x:v>19:37</x:v>
      </x:c>
      <x:c r="D94" s="11" t="str">
        <x:v>카페 온담</x:v>
      </x:c>
      <x:c r="E94" s="11" t="str">
        <x:v>현금</x:v>
      </x:c>
      <x:c r="F94" s="15" t="n">
        <x:f>COUNTIFS('상품'!$B$6:$B$225,A94)</x:f>
        <x:v>2</x:v>
      </x:c>
      <x:c r="G94" s="15" t="n">
        <x:f>SUMIFS('상품'!$G$6:$G$225,'상품'!$B$6:$B$225,A94)</x:f>
        <x:v>2</x:v>
      </x:c>
      <x:c r="H94" s="15" t="n">
        <x:f>SUMIFS('상품'!$I$6:$I$225,'상품'!$B$6:$B$225,A94)</x:f>
        <x:v>12500</x:v>
      </x:c>
      <x:c r="I94" s="15" t="n">
        <x:f>SUMIFS('상품'!$J$6:$J$225,'상품'!$B$6:$B$225,A94)</x:f>
        <x:v>0</x:v>
      </x:c>
      <x:c r="J94" s="15" t="n">
        <x:f>SUMIFS('상품'!$K$6:$K$225,'상품'!$B$6:$B$225,A94)</x:f>
        <x:v>12500</x:v>
      </x:c>
      <x:c r="K94" s="11" t="str">
        <x:v>POS_D</x:v>
      </x:c>
      <x:c r="L94" s="11" t="str">
        <x:v>receipts/R089.pdf</x:v>
      </x:c>
      <x:c r="M94" s="11" t="str">
        <x:v>정제완료</x:v>
      </x:c>
      <x:c r="N94" s="11" t="str"/>
      <x:c r="O94" s="15" t="n">
        <x:v>12500</x:v>
      </x:c>
      <x:c r="P94" s="15" t="n">
        <x:f>J94-O94</x:f>
        <x:v>0</x:v>
      </x:c>
    </x:row>
    <x:row r="95" ht="23" customHeight="1">
      <x:c r="A95" s="4" t="str">
        <x:v>R090</x:v>
      </x:c>
      <x:c r="B95" s="14" t="d">
        <x:v>2026-09-26T00:00:00.000Z</x:v>
      </x:c>
      <x:c r="C95" s="4" t="str">
        <x:v>20:51</x:v>
      </x:c>
      <x:c r="D95" s="4" t="str">
        <x:v>카페 온담</x:v>
      </x:c>
      <x:c r="E95" s="4" t="str">
        <x:v>간편결제</x:v>
      </x:c>
      <x:c r="F95" s="16" t="n">
        <x:f>COUNTIFS('상품'!$B$6:$B$225,A95)</x:f>
        <x:v>2</x:v>
      </x:c>
      <x:c r="G95" s="16" t="n">
        <x:f>SUMIFS('상품'!$G$6:$G$225,'상품'!$B$6:$B$225,A95)</x:f>
        <x:v>2</x:v>
      </x:c>
      <x:c r="H95" s="16" t="n">
        <x:f>SUMIFS('상품'!$I$6:$I$225,'상품'!$B$6:$B$225,A95)</x:f>
        <x:v>9300</x:v>
      </x:c>
      <x:c r="I95" s="16" t="n">
        <x:f>SUMIFS('상품'!$J$6:$J$225,'상품'!$B$6:$B$225,A95)</x:f>
        <x:v>0</x:v>
      </x:c>
      <x:c r="J95" s="16" t="n">
        <x:f>SUMIFS('상품'!$K$6:$K$225,'상품'!$B$6:$B$225,A95)</x:f>
        <x:v>9300</x:v>
      </x:c>
      <x:c r="K95" s="4" t="str">
        <x:v>POS_E</x:v>
      </x:c>
      <x:c r="L95" s="4" t="str">
        <x:v>receipts/R090.pdf</x:v>
      </x:c>
      <x:c r="M95" s="4" t="str">
        <x:v>정제완료</x:v>
      </x:c>
      <x:c r="N95" s="4" t="str"/>
      <x:c r="O95" s="16" t="n">
        <x:v>9300</x:v>
      </x:c>
      <x:c r="P95" s="16" t="n">
        <x:f>J95-O95</x:f>
        <x:v>0</x:v>
      </x:c>
    </x:row>
    <x:row r="96" ht="23" customHeight="1">
      <x:c r="A96" s="11" t="str">
        <x:v>R091</x:v>
      </x:c>
      <x:c r="B96" s="13" t="d">
        <x:v>2026-09-27T00:00:00.000Z</x:v>
      </x:c>
      <x:c r="C96" s="11" t="str">
        <x:v>11:41</x:v>
      </x:c>
      <x:c r="D96" s="11" t="str">
        <x:v>카페 온담</x:v>
      </x:c>
      <x:c r="E96" s="11" t="str">
        <x:v>카드</x:v>
      </x:c>
      <x:c r="F96" s="15" t="n">
        <x:f>COUNTIFS('상품'!$B$6:$B$225,A96)</x:f>
        <x:v>3</x:v>
      </x:c>
      <x:c r="G96" s="15" t="n">
        <x:f>SUMIFS('상품'!$G$6:$G$225,'상품'!$B$6:$B$225,A96)</x:f>
        <x:v>3</x:v>
      </x:c>
      <x:c r="H96" s="15" t="n">
        <x:f>SUMIFS('상품'!$I$6:$I$225,'상품'!$B$6:$B$225,A96)</x:f>
        <x:v>17300</x:v>
      </x:c>
      <x:c r="I96" s="15" t="n">
        <x:f>SUMIFS('상품'!$J$6:$J$225,'상품'!$B$6:$B$225,A96)</x:f>
        <x:v>0</x:v>
      </x:c>
      <x:c r="J96" s="15" t="n">
        <x:f>SUMIFS('상품'!$K$6:$K$225,'상품'!$B$6:$B$225,A96)</x:f>
        <x:v>17300</x:v>
      </x:c>
      <x:c r="K96" s="11" t="str">
        <x:v>POS_A</x:v>
      </x:c>
      <x:c r="L96" s="11" t="str">
        <x:v>receipts/R091.pdf</x:v>
      </x:c>
      <x:c r="M96" s="11" t="str">
        <x:v>정제완료</x:v>
      </x:c>
      <x:c r="N96" s="11" t="str"/>
      <x:c r="O96" s="15" t="n">
        <x:v>17300</x:v>
      </x:c>
      <x:c r="P96" s="15" t="n">
        <x:f>J96-O96</x:f>
        <x:v>0</x:v>
      </x:c>
    </x:row>
    <x:row r="97" ht="23" customHeight="1">
      <x:c r="A97" s="4" t="str">
        <x:v>R092</x:v>
      </x:c>
      <x:c r="B97" s="14" t="d">
        <x:v>2026-09-27T00:00:00.000Z</x:v>
      </x:c>
      <x:c r="C97" s="4" t="str">
        <x:v>12:29</x:v>
      </x:c>
      <x:c r="D97" s="4" t="str">
        <x:v>카페 온담</x:v>
      </x:c>
      <x:c r="E97" s="4" t="str">
        <x:v>카드</x:v>
      </x:c>
      <x:c r="F97" s="16" t="n">
        <x:f>COUNTIFS('상품'!$B$6:$B$225,A97)</x:f>
        <x:v>2</x:v>
      </x:c>
      <x:c r="G97" s="16" t="n">
        <x:f>SUMIFS('상품'!$G$6:$G$225,'상품'!$B$6:$B$225,A97)</x:f>
        <x:v>2</x:v>
      </x:c>
      <x:c r="H97" s="16" t="n">
        <x:f>SUMIFS('상품'!$I$6:$I$225,'상품'!$B$6:$B$225,A97)</x:f>
        <x:v>12300</x:v>
      </x:c>
      <x:c r="I97" s="16" t="n">
        <x:f>SUMIFS('상품'!$J$6:$J$225,'상품'!$B$6:$B$225,A97)</x:f>
        <x:v>0</x:v>
      </x:c>
      <x:c r="J97" s="16" t="n">
        <x:f>SUMIFS('상품'!$K$6:$K$225,'상품'!$B$6:$B$225,A97)</x:f>
        <x:v>12300</x:v>
      </x:c>
      <x:c r="K97" s="4" t="str">
        <x:v>POS_B</x:v>
      </x:c>
      <x:c r="L97" s="4" t="str">
        <x:v>receipts/R092.pdf</x:v>
      </x:c>
      <x:c r="M97" s="4" t="str">
        <x:v>정제완료</x:v>
      </x:c>
      <x:c r="N97" s="4" t="str"/>
      <x:c r="O97" s="16" t="n">
        <x:v>12300</x:v>
      </x:c>
      <x:c r="P97" s="16" t="n">
        <x:f>J97-O97</x:f>
        <x:v>0</x:v>
      </x:c>
    </x:row>
    <x:row r="98" ht="23" customHeight="1">
      <x:c r="A98" s="11" t="str">
        <x:v>R093</x:v>
      </x:c>
      <x:c r="B98" s="13" t="d">
        <x:v>2026-09-27T00:00:00.000Z</x:v>
      </x:c>
      <x:c r="C98" s="11" t="str">
        <x:v>17:45</x:v>
      </x:c>
      <x:c r="D98" s="11" t="str">
        <x:v>카페 온담</x:v>
      </x:c>
      <x:c r="E98" s="11" t="str">
        <x:v>카드</x:v>
      </x:c>
      <x:c r="F98" s="15" t="n">
        <x:f>COUNTIFS('상품'!$B$6:$B$225,A98)</x:f>
        <x:v>1</x:v>
      </x:c>
      <x:c r="G98" s="15" t="n">
        <x:f>SUMIFS('상품'!$G$6:$G$225,'상품'!$B$6:$B$225,A98)</x:f>
        <x:v>1</x:v>
      </x:c>
      <x:c r="H98" s="15" t="n">
        <x:f>SUMIFS('상품'!$I$6:$I$225,'상품'!$B$6:$B$225,A98)</x:f>
        <x:v>5500</x:v>
      </x:c>
      <x:c r="I98" s="15" t="n">
        <x:f>SUMIFS('상품'!$J$6:$J$225,'상품'!$B$6:$B$225,A98)</x:f>
        <x:v>0</x:v>
      </x:c>
      <x:c r="J98" s="15" t="n">
        <x:f>SUMIFS('상품'!$K$6:$K$225,'상품'!$B$6:$B$225,A98)</x:f>
        <x:v>5500</x:v>
      </x:c>
      <x:c r="K98" s="11" t="str">
        <x:v>POS_C</x:v>
      </x:c>
      <x:c r="L98" s="11" t="str">
        <x:v>receipts/R093.pdf</x:v>
      </x:c>
      <x:c r="M98" s="11" t="str">
        <x:v>정제완료</x:v>
      </x:c>
      <x:c r="N98" s="11" t="str"/>
      <x:c r="O98" s="15" t="n">
        <x:v>5500</x:v>
      </x:c>
      <x:c r="P98" s="15" t="n">
        <x:f>J98-O98</x:f>
        <x:v>0</x:v>
      </x:c>
    </x:row>
    <x:row r="99" ht="23" customHeight="1">
      <x:c r="A99" s="4" t="str">
        <x:v>R094</x:v>
      </x:c>
      <x:c r="B99" s="14" t="d">
        <x:v>2026-09-28T00:00:00.000Z</x:v>
      </x:c>
      <x:c r="C99" s="4" t="str">
        <x:v>10:52</x:v>
      </x:c>
      <x:c r="D99" s="4" t="str">
        <x:v>카페 온담</x:v>
      </x:c>
      <x:c r="E99" s="4" t="str">
        <x:v>카드</x:v>
      </x:c>
      <x:c r="F99" s="16" t="n">
        <x:f>COUNTIFS('상품'!$B$6:$B$225,A99)</x:f>
        <x:v>3</x:v>
      </x:c>
      <x:c r="G99" s="16" t="n">
        <x:f>SUMIFS('상품'!$G$6:$G$225,'상품'!$B$6:$B$225,A99)</x:f>
        <x:v>3</x:v>
      </x:c>
      <x:c r="H99" s="16" t="n">
        <x:f>SUMIFS('상품'!$I$6:$I$225,'상품'!$B$6:$B$225,A99)</x:f>
        <x:v>17800</x:v>
      </x:c>
      <x:c r="I99" s="16" t="n">
        <x:f>SUMIFS('상품'!$J$6:$J$225,'상품'!$B$6:$B$225,A99)</x:f>
        <x:v>1000</x:v>
      </x:c>
      <x:c r="J99" s="16" t="n">
        <x:f>SUMIFS('상품'!$K$6:$K$225,'상품'!$B$6:$B$225,A99)</x:f>
        <x:v>16800</x:v>
      </x:c>
      <x:c r="K99" s="4" t="str">
        <x:v>POS_D</x:v>
      </x:c>
      <x:c r="L99" s="4" t="str">
        <x:v>receipts/R094.pdf</x:v>
      </x:c>
      <x:c r="M99" s="4" t="str">
        <x:v>정제완료</x:v>
      </x:c>
      <x:c r="N99" s="4" t="str"/>
      <x:c r="O99" s="16" t="n">
        <x:v>16800</x:v>
      </x:c>
      <x:c r="P99" s="16" t="n">
        <x:f>J99-O99</x:f>
        <x:v>0</x:v>
      </x:c>
    </x:row>
    <x:row r="100" ht="23" customHeight="1">
      <x:c r="A100" s="11" t="str">
        <x:v>R095</x:v>
      </x:c>
      <x:c r="B100" s="13" t="d">
        <x:v>2026-09-28T00:00:00.000Z</x:v>
      </x:c>
      <x:c r="C100" s="11" t="str">
        <x:v>13:30</x:v>
      </x:c>
      <x:c r="D100" s="11" t="str">
        <x:v>카페 온담</x:v>
      </x:c>
      <x:c r="E100" s="11" t="str">
        <x:v>카드</x:v>
      </x:c>
      <x:c r="F100" s="15" t="n">
        <x:f>COUNTIFS('상품'!$B$6:$B$225,A100)</x:f>
        <x:v>2</x:v>
      </x:c>
      <x:c r="G100" s="15" t="n">
        <x:f>SUMIFS('상품'!$G$6:$G$225,'상품'!$B$6:$B$225,A100)</x:f>
        <x:v>2</x:v>
      </x:c>
      <x:c r="H100" s="15" t="n">
        <x:f>SUMIFS('상품'!$I$6:$I$225,'상품'!$B$6:$B$225,A100)</x:f>
        <x:v>10300</x:v>
      </x:c>
      <x:c r="I100" s="15" t="n">
        <x:f>SUMIFS('상품'!$J$6:$J$225,'상품'!$B$6:$B$225,A100)</x:f>
        <x:v>0</x:v>
      </x:c>
      <x:c r="J100" s="15" t="n">
        <x:f>SUMIFS('상품'!$K$6:$K$225,'상품'!$B$6:$B$225,A100)</x:f>
        <x:v>10300</x:v>
      </x:c>
      <x:c r="K100" s="11" t="str">
        <x:v>POS_E</x:v>
      </x:c>
      <x:c r="L100" s="11" t="str">
        <x:v>receipts/R095.pdf</x:v>
      </x:c>
      <x:c r="M100" s="11" t="str">
        <x:v>정제완료</x:v>
      </x:c>
      <x:c r="N100" s="11" t="str"/>
      <x:c r="O100" s="15" t="n">
        <x:v>10300</x:v>
      </x:c>
      <x:c r="P100" s="15" t="n">
        <x:f>J100-O100</x:f>
        <x:v>0</x:v>
      </x:c>
    </x:row>
    <x:row r="101" ht="23" customHeight="1">
      <x:c r="A101" s="4" t="str">
        <x:v>R096</x:v>
      </x:c>
      <x:c r="B101" s="14" t="d">
        <x:v>2026-09-29T00:00:00.000Z</x:v>
      </x:c>
      <x:c r="C101" s="4" t="str">
        <x:v>12:14</x:v>
      </x:c>
      <x:c r="D101" s="4" t="str">
        <x:v>카페 온담</x:v>
      </x:c>
      <x:c r="E101" s="4" t="str">
        <x:v>간편결제</x:v>
      </x:c>
      <x:c r="F101" s="16" t="n">
        <x:f>COUNTIFS('상품'!$B$6:$B$225,A101)</x:f>
        <x:v>2</x:v>
      </x:c>
      <x:c r="G101" s="16" t="n">
        <x:f>SUMIFS('상품'!$G$6:$G$225,'상품'!$B$6:$B$225,A101)</x:f>
        <x:v>2</x:v>
      </x:c>
      <x:c r="H101" s="16" t="n">
        <x:f>SUMIFS('상품'!$I$6:$I$225,'상품'!$B$6:$B$225,A101)</x:f>
        <x:v>9300</x:v>
      </x:c>
      <x:c r="I101" s="16" t="n">
        <x:f>SUMIFS('상품'!$J$6:$J$225,'상품'!$B$6:$B$225,A101)</x:f>
        <x:v>0</x:v>
      </x:c>
      <x:c r="J101" s="16" t="n">
        <x:f>SUMIFS('상품'!$K$6:$K$225,'상품'!$B$6:$B$225,A101)</x:f>
        <x:v>9300</x:v>
      </x:c>
      <x:c r="K101" s="4" t="str">
        <x:v>POS_A</x:v>
      </x:c>
      <x:c r="L101" s="4" t="str">
        <x:v>receipts/R096.pdf</x:v>
      </x:c>
      <x:c r="M101" s="4" t="str">
        <x:v>정제완료</x:v>
      </x:c>
      <x:c r="N101" s="4" t="str"/>
      <x:c r="O101" s="16" t="n">
        <x:v>9300</x:v>
      </x:c>
      <x:c r="P101" s="16" t="n">
        <x:f>J101-O101</x:f>
        <x:v>0</x:v>
      </x:c>
    </x:row>
    <x:row r="102" ht="23" customHeight="1">
      <x:c r="A102" s="11" t="str">
        <x:v>R097</x:v>
      </x:c>
      <x:c r="B102" s="13" t="d">
        <x:v>2026-09-29T00:00:00.000Z</x:v>
      </x:c>
      <x:c r="C102" s="11" t="str">
        <x:v>12:28</x:v>
      </x:c>
      <x:c r="D102" s="11" t="str">
        <x:v>카페 온담</x:v>
      </x:c>
      <x:c r="E102" s="11" t="str">
        <x:v>현금</x:v>
      </x:c>
      <x:c r="F102" s="15" t="n">
        <x:f>COUNTIFS('상품'!$B$6:$B$225,A102)</x:f>
        <x:v>2</x:v>
      </x:c>
      <x:c r="G102" s="15" t="n">
        <x:f>SUMIFS('상품'!$G$6:$G$225,'상품'!$B$6:$B$225,A102)</x:f>
        <x:v>2</x:v>
      </x:c>
      <x:c r="H102" s="15" t="n">
        <x:f>SUMIFS('상품'!$I$6:$I$225,'상품'!$B$6:$B$225,A102)</x:f>
        <x:v>8600</x:v>
      </x:c>
      <x:c r="I102" s="15" t="n">
        <x:f>SUMIFS('상품'!$J$6:$J$225,'상품'!$B$6:$B$225,A102)</x:f>
        <x:v>0</x:v>
      </x:c>
      <x:c r="J102" s="15" t="n">
        <x:f>SUMIFS('상품'!$K$6:$K$225,'상품'!$B$6:$B$225,A102)</x:f>
        <x:v>8600</x:v>
      </x:c>
      <x:c r="K102" s="11" t="str">
        <x:v>POS_B</x:v>
      </x:c>
      <x:c r="L102" s="11" t="str">
        <x:v>receipts/R097.pdf</x:v>
      </x:c>
      <x:c r="M102" s="11" t="str">
        <x:v>정제완료</x:v>
      </x:c>
      <x:c r="N102" s="11" t="str"/>
      <x:c r="O102" s="15" t="n">
        <x:v>8600</x:v>
      </x:c>
      <x:c r="P102" s="15" t="n">
        <x:f>J102-O102</x:f>
        <x:v>0</x:v>
      </x:c>
    </x:row>
    <x:row r="103" ht="23" customHeight="1">
      <x:c r="A103" s="4" t="str">
        <x:v>R098</x:v>
      </x:c>
      <x:c r="B103" s="14" t="d">
        <x:v>2026-09-29T00:00:00.000Z</x:v>
      </x:c>
      <x:c r="C103" s="4" t="str">
        <x:v>13:01</x:v>
      </x:c>
      <x:c r="D103" s="4" t="str">
        <x:v>카페 온담</x:v>
      </x:c>
      <x:c r="E103" s="4" t="str">
        <x:v>카드</x:v>
      </x:c>
      <x:c r="F103" s="16" t="n">
        <x:f>COUNTIFS('상품'!$B$6:$B$225,A103)</x:f>
        <x:v>2</x:v>
      </x:c>
      <x:c r="G103" s="16" t="n">
        <x:f>SUMIFS('상품'!$G$6:$G$225,'상품'!$B$6:$B$225,A103)</x:f>
        <x:v>3</x:v>
      </x:c>
      <x:c r="H103" s="16" t="n">
        <x:f>SUMIFS('상품'!$I$6:$I$225,'상품'!$B$6:$B$225,A103)</x:f>
        <x:v>10600</x:v>
      </x:c>
      <x:c r="I103" s="16" t="n">
        <x:f>SUMIFS('상품'!$J$6:$J$225,'상품'!$B$6:$B$225,A103)</x:f>
        <x:v>0</x:v>
      </x:c>
      <x:c r="J103" s="16" t="n">
        <x:f>SUMIFS('상품'!$K$6:$K$225,'상품'!$B$6:$B$225,A103)</x:f>
        <x:v>10600</x:v>
      </x:c>
      <x:c r="K103" s="4" t="str">
        <x:v>POS_C</x:v>
      </x:c>
      <x:c r="L103" s="4" t="str">
        <x:v>receipts/R098.pdf</x:v>
      </x:c>
      <x:c r="M103" s="4" t="str">
        <x:v>정제완료</x:v>
      </x:c>
      <x:c r="N103" s="4" t="str"/>
      <x:c r="O103" s="16" t="n">
        <x:v>10600</x:v>
      </x:c>
      <x:c r="P103" s="16" t="n">
        <x:f>J103-O103</x:f>
        <x:v>0</x:v>
      </x:c>
    </x:row>
    <x:row r="104" ht="23" customHeight="1">
      <x:c r="A104" s="11" t="str">
        <x:v>R099</x:v>
      </x:c>
      <x:c r="B104" s="13" t="d">
        <x:v>2026-09-30T00:00:00.000Z</x:v>
      </x:c>
      <x:c r="C104" s="11" t="str">
        <x:v>08:14</x:v>
      </x:c>
      <x:c r="D104" s="11" t="str">
        <x:v>카페 온담</x:v>
      </x:c>
      <x:c r="E104" s="11" t="str">
        <x:v>카드</x:v>
      </x:c>
      <x:c r="F104" s="15" t="n">
        <x:f>COUNTIFS('상품'!$B$6:$B$225,A104)</x:f>
        <x:v>2</x:v>
      </x:c>
      <x:c r="G104" s="15" t="n">
        <x:f>SUMIFS('상품'!$G$6:$G$225,'상품'!$B$6:$B$225,A104)</x:f>
        <x:v>3</x:v>
      </x:c>
      <x:c r="H104" s="15" t="n">
        <x:f>SUMIFS('상품'!$I$6:$I$225,'상품'!$B$6:$B$225,A104)</x:f>
        <x:v>18500</x:v>
      </x:c>
      <x:c r="I104" s="15" t="n">
        <x:f>SUMIFS('상품'!$J$6:$J$225,'상품'!$B$6:$B$225,A104)</x:f>
        <x:v>500</x:v>
      </x:c>
      <x:c r="J104" s="15" t="n">
        <x:f>SUMIFS('상품'!$K$6:$K$225,'상품'!$B$6:$B$225,A104)</x:f>
        <x:v>18000</x:v>
      </x:c>
      <x:c r="K104" s="11" t="str">
        <x:v>POS_D</x:v>
      </x:c>
      <x:c r="L104" s="11" t="str">
        <x:v>receipts/R099.pdf</x:v>
      </x:c>
      <x:c r="M104" s="11" t="str">
        <x:v>정제완료</x:v>
      </x:c>
      <x:c r="N104" s="11" t="str"/>
      <x:c r="O104" s="15" t="n">
        <x:v>18000</x:v>
      </x:c>
      <x:c r="P104" s="15" t="n">
        <x:f>J104-O104</x:f>
        <x:v>0</x:v>
      </x:c>
    </x:row>
    <x:row r="105" ht="23" customHeight="1">
      <x:c r="A105" s="4" t="str">
        <x:v>R100</x:v>
      </x:c>
      <x:c r="B105" s="14" t="d">
        <x:v>2026-09-30T00:00:00.000Z</x:v>
      </x:c>
      <x:c r="C105" s="4" t="str">
        <x:v>12:50</x:v>
      </x:c>
      <x:c r="D105" s="4" t="str">
        <x:v>카페 온담</x:v>
      </x:c>
      <x:c r="E105" s="4" t="str">
        <x:v>카드</x:v>
      </x:c>
      <x:c r="F105" s="16" t="n">
        <x:f>COUNTIFS('상품'!$B$6:$B$225,A105)</x:f>
        <x:v>2</x:v>
      </x:c>
      <x:c r="G105" s="16" t="n">
        <x:f>SUMIFS('상품'!$G$6:$G$225,'상품'!$B$6:$B$225,A105)</x:f>
        <x:v>3</x:v>
      </x:c>
      <x:c r="H105" s="16" t="n">
        <x:f>SUMIFS('상품'!$I$6:$I$225,'상품'!$B$6:$B$225,A105)</x:f>
        <x:v>16000</x:v>
      </x:c>
      <x:c r="I105" s="16" t="n">
        <x:f>SUMIFS('상품'!$J$6:$J$225,'상품'!$B$6:$B$225,A105)</x:f>
        <x:v>1000</x:v>
      </x:c>
      <x:c r="J105" s="16" t="n">
        <x:f>SUMIFS('상품'!$K$6:$K$225,'상품'!$B$6:$B$225,A105)</x:f>
        <x:v>15000</x:v>
      </x:c>
      <x:c r="K105" s="4" t="str">
        <x:v>POS_E</x:v>
      </x:c>
      <x:c r="L105" s="4" t="str">
        <x:v>receipts/R100.pdf</x:v>
      </x:c>
      <x:c r="M105" s="4" t="str">
        <x:v>정제완료</x:v>
      </x:c>
      <x:c r="N105" s="4" t="str"/>
      <x:c r="O105" s="16" t="n">
        <x:v>15000</x:v>
      </x:c>
      <x:c r="P105" s="16" t="n">
        <x:f>J105-O105</x:f>
        <x:v>0</x:v>
      </x:c>
    </x:row>
  </x:sheetData>
  <x:conditionalFormatting sqref="P6:P105">
    <x:cfRule type="cellIs" dxfId="0" priority="1" operator="notEqual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81e936fa38a49e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15" hidden="0" customWidth="1"/>
    <x:col min="3" max="3" width="14" hidden="0" customWidth="1"/>
    <x:col min="4" max="4" width="17" hidden="0" customWidth="1"/>
    <x:col min="5" max="5" width="30" hidden="0" customWidth="1"/>
    <x:col min="6" max="6" width="18" hidden="0" customWidth="1"/>
    <x:col min="7" max="7" width="17" hidden="0" customWidth="1"/>
    <x:col min="8" max="8" width="20" hidden="0" customWidth="1"/>
    <x:col min="9" max="9" width="20" hidden="0" customWidth="1"/>
    <x:col min="10" max="10" width="18" hidden="0" customWidth="1"/>
    <x:col min="11" max="11" width="2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>
      <x:c r="A2" s="2" t="str">
        <x:v>정제 상품 · 품목 단위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>
      <x:c r="A3" s="3" t="str">
        <x:v>gross_amount와 line_amount는 수식입니다. 할인은 품목별 1회만 차감합니다.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33" customHeight="1">
      <x:c r="A5" s="10" t="str">
        <x:v>line_id</x:v>
      </x:c>
      <x:c r="B5" s="10" t="str">
        <x:v>receipt_id</x:v>
      </x:c>
      <x:c r="C5" s="10" t="str">
        <x:v>line_no</x:v>
      </x:c>
      <x:c r="D5" s="10" t="str">
        <x:v>product_id</x:v>
      </x:c>
      <x:c r="E5" s="10" t="str">
        <x:v>product_name</x:v>
      </x:c>
      <x:c r="F5" s="10" t="str">
        <x:v>category</x:v>
      </x:c>
      <x:c r="G5" s="10" t="str">
        <x:v>quantity</x:v>
      </x:c>
      <x:c r="H5" s="10" t="str">
        <x:v>unit_price</x:v>
      </x:c>
      <x:c r="I5" s="10" t="str">
        <x:v>gross_amount</x:v>
      </x:c>
      <x:c r="J5" s="10" t="str">
        <x:v>discount</x:v>
      </x:c>
      <x:c r="K5" s="10" t="str">
        <x:v>line_amount</x:v>
      </x:c>
    </x:row>
    <x:row r="6" ht="23" customHeight="1">
      <x:c r="A6" s="11" t="str">
        <x:v>R001-L01</x:v>
      </x:c>
      <x:c r="B6" s="11" t="str">
        <x:v>R001</x:v>
      </x:c>
      <x:c r="C6" s="12" t="n">
        <x:v>1</x:v>
      </x:c>
      <x:c r="D6" s="11" t="str">
        <x:v>P001</x:v>
      </x:c>
      <x:c r="E6" s="11" t="str">
        <x:v>아이스 아메리카노</x:v>
      </x:c>
      <x:c r="F6" s="11" t="str">
        <x:v>커피</x:v>
      </x:c>
      <x:c r="G6" s="15" t="n">
        <x:v>1</x:v>
      </x:c>
      <x:c r="H6" s="15" t="n">
        <x:v>4500</x:v>
      </x:c>
      <x:c r="I6" s="15" t="n">
        <x:f>G6*H6</x:f>
        <x:v>4500</x:v>
      </x:c>
      <x:c r="J6" s="15" t="n">
        <x:v>0</x:v>
      </x:c>
      <x:c r="K6" s="15" t="n">
        <x:f>I6-J6</x:f>
        <x:v>4500</x:v>
      </x:c>
    </x:row>
    <x:row r="7" ht="23" customHeight="1">
      <x:c r="A7" s="4" t="str">
        <x:v>R001-L02</x:v>
      </x:c>
      <x:c r="B7" s="4" t="str">
        <x:v>R001</x:v>
      </x:c>
      <x:c r="C7" s="5" t="n">
        <x:v>2</x:v>
      </x:c>
      <x:c r="D7" s="4" t="str">
        <x:v>P002</x:v>
      </x:c>
      <x:c r="E7" s="4" t="str">
        <x:v>따뜻한 아메리카노</x:v>
      </x:c>
      <x:c r="F7" s="4" t="str">
        <x:v>커피</x:v>
      </x:c>
      <x:c r="G7" s="16" t="n">
        <x:v>2</x:v>
      </x:c>
      <x:c r="H7" s="16" t="n">
        <x:v>4500</x:v>
      </x:c>
      <x:c r="I7" s="16" t="n">
        <x:f>G7*H7</x:f>
        <x:v>9000</x:v>
      </x:c>
      <x:c r="J7" s="16" t="n">
        <x:v>0</x:v>
      </x:c>
      <x:c r="K7" s="16" t="n">
        <x:f>I7-J7</x:f>
        <x:v>9000</x:v>
      </x:c>
    </x:row>
    <x:row r="8" ht="23" customHeight="1">
      <x:c r="A8" s="11" t="str">
        <x:v>R002-L01</x:v>
      </x:c>
      <x:c r="B8" s="11" t="str">
        <x:v>R002</x:v>
      </x:c>
      <x:c r="C8" s="12" t="n">
        <x:v>1</x:v>
      </x:c>
      <x:c r="D8" s="11" t="str">
        <x:v>P003</x:v>
      </x:c>
      <x:c r="E8" s="11" t="str">
        <x:v>카페라떼</x:v>
      </x:c>
      <x:c r="F8" s="11" t="str">
        <x:v>커피</x:v>
      </x:c>
      <x:c r="G8" s="15" t="n">
        <x:v>1</x:v>
      </x:c>
      <x:c r="H8" s="15" t="n">
        <x:v>5000</x:v>
      </x:c>
      <x:c r="I8" s="15" t="n">
        <x:f>G8*H8</x:f>
        <x:v>5000</x:v>
      </x:c>
      <x:c r="J8" s="15" t="n">
        <x:v>0</x:v>
      </x:c>
      <x:c r="K8" s="15" t="n">
        <x:f>I8-J8</x:f>
        <x:v>5000</x:v>
      </x:c>
    </x:row>
    <x:row r="9" ht="23" customHeight="1">
      <x:c r="A9" s="4" t="str">
        <x:v>R002-L02</x:v>
      </x:c>
      <x:c r="B9" s="4" t="str">
        <x:v>R002</x:v>
      </x:c>
      <x:c r="C9" s="5" t="n">
        <x:v>2</x:v>
      </x:c>
      <x:c r="D9" s="4" t="str">
        <x:v>P004</x:v>
      </x:c>
      <x:c r="E9" s="4" t="str">
        <x:v>바닐라라떼</x:v>
      </x:c>
      <x:c r="F9" s="4" t="str">
        <x:v>커피</x:v>
      </x:c>
      <x:c r="G9" s="16" t="n">
        <x:v>1</x:v>
      </x:c>
      <x:c r="H9" s="16" t="n">
        <x:v>5500</x:v>
      </x:c>
      <x:c r="I9" s="16" t="n">
        <x:f>G9*H9</x:f>
        <x:v>5500</x:v>
      </x:c>
      <x:c r="J9" s="16" t="n">
        <x:v>0</x:v>
      </x:c>
      <x:c r="K9" s="16" t="n">
        <x:f>I9-J9</x:f>
        <x:v>5500</x:v>
      </x:c>
    </x:row>
    <x:row r="10" ht="23" customHeight="1">
      <x:c r="A10" s="11" t="str">
        <x:v>R002-L03</x:v>
      </x:c>
      <x:c r="B10" s="11" t="str">
        <x:v>R002</x:v>
      </x:c>
      <x:c r="C10" s="12" t="n">
        <x:v>3</x:v>
      </x:c>
      <x:c r="D10" s="11" t="str">
        <x:v>P005</x:v>
      </x:c>
      <x:c r="E10" s="11" t="str">
        <x:v>카푸치노</x:v>
      </x:c>
      <x:c r="F10" s="11" t="str">
        <x:v>커피</x:v>
      </x:c>
      <x:c r="G10" s="15" t="n">
        <x:v>2</x:v>
      </x:c>
      <x:c r="H10" s="15" t="n">
        <x:v>5000</x:v>
      </x:c>
      <x:c r="I10" s="15" t="n">
        <x:f>G10*H10</x:f>
        <x:v>10000</x:v>
      </x:c>
      <x:c r="J10" s="15" t="n">
        <x:v>0</x:v>
      </x:c>
      <x:c r="K10" s="15" t="n">
        <x:f>I10-J10</x:f>
        <x:v>10000</x:v>
      </x:c>
    </x:row>
    <x:row r="11" ht="23" customHeight="1">
      <x:c r="A11" s="4" t="str">
        <x:v>R003-L01</x:v>
      </x:c>
      <x:c r="B11" s="4" t="str">
        <x:v>R003</x:v>
      </x:c>
      <x:c r="C11" s="5" t="n">
        <x:v>1</x:v>
      </x:c>
      <x:c r="D11" s="4" t="str">
        <x:v>P006</x:v>
      </x:c>
      <x:c r="E11" s="4" t="str">
        <x:v>콜드브루</x:v>
      </x:c>
      <x:c r="F11" s="4" t="str">
        <x:v>커피</x:v>
      </x:c>
      <x:c r="G11" s="16" t="n">
        <x:v>1</x:v>
      </x:c>
      <x:c r="H11" s="16" t="n">
        <x:v>5500</x:v>
      </x:c>
      <x:c r="I11" s="16" t="n">
        <x:f>G11*H11</x:f>
        <x:v>5500</x:v>
      </x:c>
      <x:c r="J11" s="16" t="n">
        <x:v>0</x:v>
      </x:c>
      <x:c r="K11" s="16" t="n">
        <x:f>I11-J11</x:f>
        <x:v>5500</x:v>
      </x:c>
    </x:row>
    <x:row r="12" ht="23" customHeight="1">
      <x:c r="A12" s="11" t="str">
        <x:v>R003-L02</x:v>
      </x:c>
      <x:c r="B12" s="11" t="str">
        <x:v>R003</x:v>
      </x:c>
      <x:c r="C12" s="12" t="n">
        <x:v>2</x:v>
      </x:c>
      <x:c r="D12" s="11" t="str">
        <x:v>P007</x:v>
      </x:c>
      <x:c r="E12" s="11" t="str">
        <x:v>레몬에이드</x:v>
      </x:c>
      <x:c r="F12" s="11" t="str">
        <x:v>음료</x:v>
      </x:c>
      <x:c r="G12" s="15" t="n">
        <x:v>1</x:v>
      </x:c>
      <x:c r="H12" s="15" t="n">
        <x:v>6000</x:v>
      </x:c>
      <x:c r="I12" s="15" t="n">
        <x:f>G12*H12</x:f>
        <x:v>6000</x:v>
      </x:c>
      <x:c r="J12" s="15" t="n">
        <x:v>300</x:v>
      </x:c>
      <x:c r="K12" s="15" t="n">
        <x:f>I12-J12</x:f>
        <x:v>5700</x:v>
      </x:c>
    </x:row>
    <x:row r="13" ht="23" customHeight="1">
      <x:c r="A13" s="4" t="str">
        <x:v>R004-L01</x:v>
      </x:c>
      <x:c r="B13" s="4" t="str">
        <x:v>R004</x:v>
      </x:c>
      <x:c r="C13" s="5" t="n">
        <x:v>1</x:v>
      </x:c>
      <x:c r="D13" s="4" t="str">
        <x:v>P008</x:v>
      </x:c>
      <x:c r="E13" s="4" t="str">
        <x:v>자몽에이드</x:v>
      </x:c>
      <x:c r="F13" s="4" t="str">
        <x:v>음료</x:v>
      </x:c>
      <x:c r="G13" s="16" t="n">
        <x:v>1</x:v>
      </x:c>
      <x:c r="H13" s="16" t="n">
        <x:v>6000</x:v>
      </x:c>
      <x:c r="I13" s="16" t="n">
        <x:f>G13*H13</x:f>
        <x:v>6000</x:v>
      </x:c>
      <x:c r="J13" s="16" t="n">
        <x:v>0</x:v>
      </x:c>
      <x:c r="K13" s="16" t="n">
        <x:f>I13-J13</x:f>
        <x:v>6000</x:v>
      </x:c>
    </x:row>
    <x:row r="14" ht="23" customHeight="1">
      <x:c r="A14" s="11" t="str">
        <x:v>R004-L02</x:v>
      </x:c>
      <x:c r="B14" s="11" t="str">
        <x:v>R004</x:v>
      </x:c>
      <x:c r="C14" s="12" t="n">
        <x:v>2</x:v>
      </x:c>
      <x:c r="D14" s="11" t="str">
        <x:v>P009</x:v>
      </x:c>
      <x:c r="E14" s="11" t="str">
        <x:v>말차라떼</x:v>
      </x:c>
      <x:c r="F14" s="11" t="str">
        <x:v>음료</x:v>
      </x:c>
      <x:c r="G14" s="15" t="n">
        <x:v>2</x:v>
      </x:c>
      <x:c r="H14" s="15" t="n">
        <x:v>5800</x:v>
      </x:c>
      <x:c r="I14" s="15" t="n">
        <x:f>G14*H14</x:f>
        <x:v>11600</x:v>
      </x:c>
      <x:c r="J14" s="15" t="n">
        <x:v>0</x:v>
      </x:c>
      <x:c r="K14" s="15" t="n">
        <x:f>I14-J14</x:f>
        <x:v>11600</x:v>
      </x:c>
    </x:row>
    <x:row r="15" ht="23" customHeight="1">
      <x:c r="A15" s="4" t="str">
        <x:v>R004-L03</x:v>
      </x:c>
      <x:c r="B15" s="4" t="str">
        <x:v>R004</x:v>
      </x:c>
      <x:c r="C15" s="5" t="n">
        <x:v>3</x:v>
      </x:c>
      <x:c r="D15" s="4" t="str">
        <x:v>P010</x:v>
      </x:c>
      <x:c r="E15" s="4" t="str">
        <x:v>초콜릿라떼</x:v>
      </x:c>
      <x:c r="F15" s="4" t="str">
        <x:v>음료</x:v>
      </x:c>
      <x:c r="G15" s="16" t="n">
        <x:v>1</x:v>
      </x:c>
      <x:c r="H15" s="16" t="n">
        <x:v>5500</x:v>
      </x:c>
      <x:c r="I15" s="16" t="n">
        <x:f>G15*H15</x:f>
        <x:v>5500</x:v>
      </x:c>
      <x:c r="J15" s="16" t="n">
        <x:v>1000</x:v>
      </x:c>
      <x:c r="K15" s="16" t="n">
        <x:f>I15-J15</x:f>
        <x:v>4500</x:v>
      </x:c>
    </x:row>
    <x:row r="16" ht="23" customHeight="1">
      <x:c r="A16" s="11" t="str">
        <x:v>R004-L04</x:v>
      </x:c>
      <x:c r="B16" s="11" t="str">
        <x:v>R004</x:v>
      </x:c>
      <x:c r="C16" s="12" t="n">
        <x:v>4</x:v>
      </x:c>
      <x:c r="D16" s="11" t="str">
        <x:v>P011</x:v>
      </x:c>
      <x:c r="E16" s="11" t="str">
        <x:v>얼그레이티</x:v>
      </x:c>
      <x:c r="F16" s="11" t="str">
        <x:v>차</x:v>
      </x:c>
      <x:c r="G16" s="15" t="n">
        <x:v>1</x:v>
      </x:c>
      <x:c r="H16" s="15" t="n">
        <x:v>4500</x:v>
      </x:c>
      <x:c r="I16" s="15" t="n">
        <x:f>G16*H16</x:f>
        <x:v>4500</x:v>
      </x:c>
      <x:c r="J16" s="15" t="n">
        <x:v>0</x:v>
      </x:c>
      <x:c r="K16" s="15" t="n">
        <x:f>I16-J16</x:f>
        <x:v>4500</x:v>
      </x:c>
    </x:row>
    <x:row r="17" ht="23" customHeight="1">
      <x:c r="A17" s="4" t="str">
        <x:v>R005-L01</x:v>
      </x:c>
      <x:c r="B17" s="4" t="str">
        <x:v>R005</x:v>
      </x:c>
      <x:c r="C17" s="5" t="n">
        <x:v>1</x:v>
      </x:c>
      <x:c r="D17" s="4" t="str">
        <x:v>P012</x:v>
      </x:c>
      <x:c r="E17" s="4" t="str">
        <x:v>캐모마일티</x:v>
      </x:c>
      <x:c r="F17" s="4" t="str">
        <x:v>차</x:v>
      </x:c>
      <x:c r="G17" s="16" t="n">
        <x:v>2</x:v>
      </x:c>
      <x:c r="H17" s="16" t="n">
        <x:v>4500</x:v>
      </x:c>
      <x:c r="I17" s="16" t="n">
        <x:f>G17*H17</x:f>
        <x:v>9000</x:v>
      </x:c>
      <x:c r="J17" s="16" t="n">
        <x:v>0</x:v>
      </x:c>
      <x:c r="K17" s="16" t="n">
        <x:f>I17-J17</x:f>
        <x:v>9000</x:v>
      </x:c>
    </x:row>
    <x:row r="18" ht="23" customHeight="1">
      <x:c r="A18" s="11" t="str">
        <x:v>R006-L01</x:v>
      </x:c>
      <x:c r="B18" s="11" t="str">
        <x:v>R006</x:v>
      </x:c>
      <x:c r="C18" s="12" t="n">
        <x:v>1</x:v>
      </x:c>
      <x:c r="D18" s="11" t="str">
        <x:v>P013</x:v>
      </x:c>
      <x:c r="E18" s="11" t="str">
        <x:v>크루아상</x:v>
      </x:c>
      <x:c r="F18" s="11" t="str">
        <x:v>베이커리</x:v>
      </x:c>
      <x:c r="G18" s="15" t="n">
        <x:v>1</x:v>
      </x:c>
      <x:c r="H18" s="15" t="n">
        <x:v>4000</x:v>
      </x:c>
      <x:c r="I18" s="15" t="n">
        <x:f>G18*H18</x:f>
        <x:v>4000</x:v>
      </x:c>
      <x:c r="J18" s="15" t="n">
        <x:v>300</x:v>
      </x:c>
      <x:c r="K18" s="15" t="n">
        <x:f>I18-J18</x:f>
        <x:v>3700</x:v>
      </x:c>
    </x:row>
    <x:row r="19" ht="23" customHeight="1">
      <x:c r="A19" s="4" t="str">
        <x:v>R007-L01</x:v>
      </x:c>
      <x:c r="B19" s="4" t="str">
        <x:v>R007</x:v>
      </x:c>
      <x:c r="C19" s="5" t="n">
        <x:v>1</x:v>
      </x:c>
      <x:c r="D19" s="4" t="str">
        <x:v>P014</x:v>
      </x:c>
      <x:c r="E19" s="4" t="str">
        <x:v>소금빵</x:v>
      </x:c>
      <x:c r="F19" s="4" t="str">
        <x:v>베이커리</x:v>
      </x:c>
      <x:c r="G19" s="16" t="n">
        <x:v>1</x:v>
      </x:c>
      <x:c r="H19" s="16" t="n">
        <x:v>3500</x:v>
      </x:c>
      <x:c r="I19" s="16" t="n">
        <x:f>G19*H19</x:f>
        <x:v>3500</x:v>
      </x:c>
      <x:c r="J19" s="16" t="n">
        <x:v>0</x:v>
      </x:c>
      <x:c r="K19" s="16" t="n">
        <x:f>I19-J19</x:f>
        <x:v>3500</x:v>
      </x:c>
    </x:row>
    <x:row r="20" ht="23" customHeight="1">
      <x:c r="A20" s="11" t="str">
        <x:v>R007-L02</x:v>
      </x:c>
      <x:c r="B20" s="11" t="str">
        <x:v>R007</x:v>
      </x:c>
      <x:c r="C20" s="12" t="n">
        <x:v>2</x:v>
      </x:c>
      <x:c r="D20" s="11" t="str">
        <x:v>P015</x:v>
      </x:c>
      <x:c r="E20" s="11" t="str">
        <x:v>블루베리머핀</x:v>
      </x:c>
      <x:c r="F20" s="11" t="str">
        <x:v>베이커리</x:v>
      </x:c>
      <x:c r="G20" s="15" t="n">
        <x:v>1</x:v>
      </x:c>
      <x:c r="H20" s="15" t="n">
        <x:v>4200</x:v>
      </x:c>
      <x:c r="I20" s="15" t="n">
        <x:f>G20*H20</x:f>
        <x:v>4200</x:v>
      </x:c>
      <x:c r="J20" s="15" t="n">
        <x:v>0</x:v>
      </x:c>
      <x:c r="K20" s="15" t="n">
        <x:f>I20-J20</x:f>
        <x:v>4200</x:v>
      </x:c>
    </x:row>
    <x:row r="21" ht="23" customHeight="1">
      <x:c r="A21" s="4" t="str">
        <x:v>R007-L03</x:v>
      </x:c>
      <x:c r="B21" s="4" t="str">
        <x:v>R007</x:v>
      </x:c>
      <x:c r="C21" s="5" t="n">
        <x:v>3</x:v>
      </x:c>
      <x:c r="D21" s="4" t="str">
        <x:v>P016</x:v>
      </x:c>
      <x:c r="E21" s="4" t="str">
        <x:v>치즈케이크</x:v>
      </x:c>
      <x:c r="F21" s="4" t="str">
        <x:v>디저트</x:v>
      </x:c>
      <x:c r="G21" s="16" t="n">
        <x:v>1</x:v>
      </x:c>
      <x:c r="H21" s="16" t="n">
        <x:v>6500</x:v>
      </x:c>
      <x:c r="I21" s="16" t="n">
        <x:f>G21*H21</x:f>
        <x:v>6500</x:v>
      </x:c>
      <x:c r="J21" s="16" t="n">
        <x:v>0</x:v>
      </x:c>
      <x:c r="K21" s="16" t="n">
        <x:f>I21-J21</x:f>
        <x:v>6500</x:v>
      </x:c>
    </x:row>
    <x:row r="22" ht="23" customHeight="1">
      <x:c r="A22" s="11" t="str">
        <x:v>R008-L01</x:v>
      </x:c>
      <x:c r="B22" s="11" t="str">
        <x:v>R008</x:v>
      </x:c>
      <x:c r="C22" s="12" t="n">
        <x:v>1</x:v>
      </x:c>
      <x:c r="D22" s="11" t="str">
        <x:v>P017</x:v>
      </x:c>
      <x:c r="E22" s="11" t="str">
        <x:v>초콜릿브라우니</x:v>
      </x:c>
      <x:c r="F22" s="11" t="str">
        <x:v>디저트</x:v>
      </x:c>
      <x:c r="G22" s="15" t="n">
        <x:v>1</x:v>
      </x:c>
      <x:c r="H22" s="15" t="n">
        <x:v>4800</x:v>
      </x:c>
      <x:c r="I22" s="15" t="n">
        <x:f>G22*H22</x:f>
        <x:v>4800</x:v>
      </x:c>
      <x:c r="J22" s="15" t="n">
        <x:v>0</x:v>
      </x:c>
      <x:c r="K22" s="15" t="n">
        <x:f>I22-J22</x:f>
        <x:v>4800</x:v>
      </x:c>
    </x:row>
    <x:row r="23" ht="23" customHeight="1">
      <x:c r="A23" s="4" t="str">
        <x:v>R008-L02</x:v>
      </x:c>
      <x:c r="B23" s="4" t="str">
        <x:v>R008</x:v>
      </x:c>
      <x:c r="C23" s="5" t="n">
        <x:v>2</x:v>
      </x:c>
      <x:c r="D23" s="4" t="str">
        <x:v>P018</x:v>
      </x:c>
      <x:c r="E23" s="4" t="str">
        <x:v>마카롱</x:v>
      </x:c>
      <x:c r="F23" s="4" t="str">
        <x:v>디저트</x:v>
      </x:c>
      <x:c r="G23" s="16" t="n">
        <x:v>1</x:v>
      </x:c>
      <x:c r="H23" s="16" t="n">
        <x:v>2800</x:v>
      </x:c>
      <x:c r="I23" s="16" t="n">
        <x:f>G23*H23</x:f>
        <x:v>2800</x:v>
      </x:c>
      <x:c r="J23" s="16" t="n">
        <x:v>0</x:v>
      </x:c>
      <x:c r="K23" s="16" t="n">
        <x:f>I23-J23</x:f>
        <x:v>2800</x:v>
      </x:c>
    </x:row>
    <x:row r="24" ht="23" customHeight="1">
      <x:c r="A24" s="11" t="str">
        <x:v>R009-L01</x:v>
      </x:c>
      <x:c r="B24" s="11" t="str">
        <x:v>R009</x:v>
      </x:c>
      <x:c r="C24" s="12" t="n">
        <x:v>1</x:v>
      </x:c>
      <x:c r="D24" s="11" t="str">
        <x:v>P019</x:v>
      </x:c>
      <x:c r="E24" s="11" t="str">
        <x:v>햄치즈샌드위치</x:v>
      </x:c>
      <x:c r="F24" s="11" t="str">
        <x:v>식사</x:v>
      </x:c>
      <x:c r="G24" s="15" t="n">
        <x:v>1</x:v>
      </x:c>
      <x:c r="H24" s="15" t="n">
        <x:v>7500</x:v>
      </x:c>
      <x:c r="I24" s="15" t="n">
        <x:f>G24*H24</x:f>
        <x:v>7500</x:v>
      </x:c>
      <x:c r="J24" s="15" t="n">
        <x:v>0</x:v>
      </x:c>
      <x:c r="K24" s="15" t="n">
        <x:f>I24-J24</x:f>
        <x:v>7500</x:v>
      </x:c>
    </x:row>
    <x:row r="25" ht="23" customHeight="1">
      <x:c r="A25" s="4" t="str">
        <x:v>R010-L01</x:v>
      </x:c>
      <x:c r="B25" s="4" t="str">
        <x:v>R010</x:v>
      </x:c>
      <x:c r="C25" s="5" t="n">
        <x:v>1</x:v>
      </x:c>
      <x:c r="D25" s="4" t="str">
        <x:v>P020</x:v>
      </x:c>
      <x:c r="E25" s="4" t="str">
        <x:v>치킨샌드위치</x:v>
      </x:c>
      <x:c r="F25" s="4" t="str">
        <x:v>식사</x:v>
      </x:c>
      <x:c r="G25" s="16" t="n">
        <x:v>1</x:v>
      </x:c>
      <x:c r="H25" s="16" t="n">
        <x:v>8000</x:v>
      </x:c>
      <x:c r="I25" s="16" t="n">
        <x:f>G25*H25</x:f>
        <x:v>8000</x:v>
      </x:c>
      <x:c r="J25" s="16" t="n">
        <x:v>0</x:v>
      </x:c>
      <x:c r="K25" s="16" t="n">
        <x:f>I25-J25</x:f>
        <x:v>8000</x:v>
      </x:c>
    </x:row>
    <x:row r="26" ht="23" customHeight="1">
      <x:c r="A26" s="11" t="str">
        <x:v>R010-L02</x:v>
      </x:c>
      <x:c r="B26" s="11" t="str">
        <x:v>R010</x:v>
      </x:c>
      <x:c r="C26" s="12" t="n">
        <x:v>2</x:v>
      </x:c>
      <x:c r="D26" s="11" t="str">
        <x:v>P004</x:v>
      </x:c>
      <x:c r="E26" s="11" t="str">
        <x:v>바닐라라떼</x:v>
      </x:c>
      <x:c r="F26" s="11" t="str">
        <x:v>커피</x:v>
      </x:c>
      <x:c r="G26" s="15" t="n">
        <x:v>1</x:v>
      </x:c>
      <x:c r="H26" s="15" t="n">
        <x:v>5500</x:v>
      </x:c>
      <x:c r="I26" s="15" t="n">
        <x:f>G26*H26</x:f>
        <x:v>5500</x:v>
      </x:c>
      <x:c r="J26" s="15" t="n">
        <x:v>0</x:v>
      </x:c>
      <x:c r="K26" s="15" t="n">
        <x:f>I26-J26</x:f>
        <x:v>5500</x:v>
      </x:c>
    </x:row>
    <x:row r="27" ht="23" customHeight="1">
      <x:c r="A27" s="4" t="str">
        <x:v>R011-L01</x:v>
      </x:c>
      <x:c r="B27" s="4" t="str">
        <x:v>R011</x:v>
      </x:c>
      <x:c r="C27" s="5" t="n">
        <x:v>1</x:v>
      </x:c>
      <x:c r="D27" s="4" t="str">
        <x:v>P003</x:v>
      </x:c>
      <x:c r="E27" s="4" t="str">
        <x:v>카페라떼</x:v>
      </x:c>
      <x:c r="F27" s="4" t="str">
        <x:v>커피</x:v>
      </x:c>
      <x:c r="G27" s="16" t="n">
        <x:v>1</x:v>
      </x:c>
      <x:c r="H27" s="16" t="n">
        <x:v>5000</x:v>
      </x:c>
      <x:c r="I27" s="16" t="n">
        <x:f>G27*H27</x:f>
        <x:v>5000</x:v>
      </x:c>
      <x:c r="J27" s="16" t="n">
        <x:v>0</x:v>
      </x:c>
      <x:c r="K27" s="16" t="n">
        <x:f>I27-J27</x:f>
        <x:v>5000</x:v>
      </x:c>
    </x:row>
    <x:row r="28" ht="23" customHeight="1">
      <x:c r="A28" s="11" t="str">
        <x:v>R011-L02</x:v>
      </x:c>
      <x:c r="B28" s="11" t="str">
        <x:v>R011</x:v>
      </x:c>
      <x:c r="C28" s="12" t="n">
        <x:v>2</x:v>
      </x:c>
      <x:c r="D28" s="11" t="str">
        <x:v>P013</x:v>
      </x:c>
      <x:c r="E28" s="11" t="str">
        <x:v>크루아상</x:v>
      </x:c>
      <x:c r="F28" s="11" t="str">
        <x:v>베이커리</x:v>
      </x:c>
      <x:c r="G28" s="15" t="n">
        <x:v>1</x:v>
      </x:c>
      <x:c r="H28" s="15" t="n">
        <x:v>4000</x:v>
      </x:c>
      <x:c r="I28" s="15" t="n">
        <x:f>G28*H28</x:f>
        <x:v>4000</x:v>
      </x:c>
      <x:c r="J28" s="15" t="n">
        <x:v>0</x:v>
      </x:c>
      <x:c r="K28" s="15" t="n">
        <x:f>I28-J28</x:f>
        <x:v>4000</x:v>
      </x:c>
    </x:row>
    <x:row r="29" ht="23" customHeight="1">
      <x:c r="A29" s="4" t="str">
        <x:v>R012-L01</x:v>
      </x:c>
      <x:c r="B29" s="4" t="str">
        <x:v>R012</x:v>
      </x:c>
      <x:c r="C29" s="5" t="n">
        <x:v>1</x:v>
      </x:c>
      <x:c r="D29" s="4" t="str">
        <x:v>P004</x:v>
      </x:c>
      <x:c r="E29" s="4" t="str">
        <x:v>바닐라라떼</x:v>
      </x:c>
      <x:c r="F29" s="4" t="str">
        <x:v>커피</x:v>
      </x:c>
      <x:c r="G29" s="16" t="n">
        <x:v>1</x:v>
      </x:c>
      <x:c r="H29" s="16" t="n">
        <x:v>5500</x:v>
      </x:c>
      <x:c r="I29" s="16" t="n">
        <x:f>G29*H29</x:f>
        <x:v>5500</x:v>
      </x:c>
      <x:c r="J29" s="16" t="n">
        <x:v>0</x:v>
      </x:c>
      <x:c r="K29" s="16" t="n">
        <x:f>I29-J29</x:f>
        <x:v>5500</x:v>
      </x:c>
    </x:row>
    <x:row r="30" ht="23" customHeight="1">
      <x:c r="A30" s="11" t="str">
        <x:v>R012-L02</x:v>
      </x:c>
      <x:c r="B30" s="11" t="str">
        <x:v>R012</x:v>
      </x:c>
      <x:c r="C30" s="12" t="n">
        <x:v>2</x:v>
      </x:c>
      <x:c r="D30" s="11" t="str">
        <x:v>P014</x:v>
      </x:c>
      <x:c r="E30" s="11" t="str">
        <x:v>소금빵</x:v>
      </x:c>
      <x:c r="F30" s="11" t="str">
        <x:v>베이커리</x:v>
      </x:c>
      <x:c r="G30" s="15" t="n">
        <x:v>1</x:v>
      </x:c>
      <x:c r="H30" s="15" t="n">
        <x:v>3500</x:v>
      </x:c>
      <x:c r="I30" s="15" t="n">
        <x:f>G30*H30</x:f>
        <x:v>3500</x:v>
      </x:c>
      <x:c r="J30" s="15" t="n">
        <x:v>0</x:v>
      </x:c>
      <x:c r="K30" s="15" t="n">
        <x:f>I30-J30</x:f>
        <x:v>3500</x:v>
      </x:c>
    </x:row>
    <x:row r="31" ht="23" customHeight="1">
      <x:c r="A31" s="4" t="str">
        <x:v>R013-L01</x:v>
      </x:c>
      <x:c r="B31" s="4" t="str">
        <x:v>R013</x:v>
      </x:c>
      <x:c r="C31" s="5" t="n">
        <x:v>1</x:v>
      </x:c>
      <x:c r="D31" s="4" t="str">
        <x:v>P002</x:v>
      </x:c>
      <x:c r="E31" s="4" t="str">
        <x:v>따뜻한 아메리카노</x:v>
      </x:c>
      <x:c r="F31" s="4" t="str">
        <x:v>커피</x:v>
      </x:c>
      <x:c r="G31" s="16" t="n">
        <x:v>1</x:v>
      </x:c>
      <x:c r="H31" s="16" t="n">
        <x:v>4500</x:v>
      </x:c>
      <x:c r="I31" s="16" t="n">
        <x:f>G31*H31</x:f>
        <x:v>4500</x:v>
      </x:c>
      <x:c r="J31" s="16" t="n">
        <x:v>0</x:v>
      </x:c>
      <x:c r="K31" s="16" t="n">
        <x:f>I31-J31</x:f>
        <x:v>4500</x:v>
      </x:c>
    </x:row>
    <x:row r="32" ht="23" customHeight="1">
      <x:c r="A32" s="11" t="str">
        <x:v>R013-L02</x:v>
      </x:c>
      <x:c r="B32" s="11" t="str">
        <x:v>R013</x:v>
      </x:c>
      <x:c r="C32" s="12" t="n">
        <x:v>2</x:v>
      </x:c>
      <x:c r="D32" s="11" t="str">
        <x:v>P001</x:v>
      </x:c>
      <x:c r="E32" s="11" t="str">
        <x:v>아이스 아메리카노</x:v>
      </x:c>
      <x:c r="F32" s="11" t="str">
        <x:v>커피</x:v>
      </x:c>
      <x:c r="G32" s="15" t="n">
        <x:v>1</x:v>
      </x:c>
      <x:c r="H32" s="15" t="n">
        <x:v>4500</x:v>
      </x:c>
      <x:c r="I32" s="15" t="n">
        <x:f>G32*H32</x:f>
        <x:v>4500</x:v>
      </x:c>
      <x:c r="J32" s="15" t="n">
        <x:v>0</x:v>
      </x:c>
      <x:c r="K32" s="15" t="n">
        <x:f>I32-J32</x:f>
        <x:v>4500</x:v>
      </x:c>
    </x:row>
    <x:row r="33" ht="23" customHeight="1">
      <x:c r="A33" s="4" t="str">
        <x:v>R013-L03</x:v>
      </x:c>
      <x:c r="B33" s="4" t="str">
        <x:v>R013</x:v>
      </x:c>
      <x:c r="C33" s="5" t="n">
        <x:v>3</x:v>
      </x:c>
      <x:c r="D33" s="4" t="str">
        <x:v>P007</x:v>
      </x:c>
      <x:c r="E33" s="4" t="str">
        <x:v>레몬에이드</x:v>
      </x:c>
      <x:c r="F33" s="4" t="str">
        <x:v>음료</x:v>
      </x:c>
      <x:c r="G33" s="16" t="n">
        <x:v>1</x:v>
      </x:c>
      <x:c r="H33" s="16" t="n">
        <x:v>6000</x:v>
      </x:c>
      <x:c r="I33" s="16" t="n">
        <x:f>G33*H33</x:f>
        <x:v>6000</x:v>
      </x:c>
      <x:c r="J33" s="16" t="n">
        <x:v>0</x:v>
      </x:c>
      <x:c r="K33" s="16" t="n">
        <x:f>I33-J33</x:f>
        <x:v>6000</x:v>
      </x:c>
    </x:row>
    <x:row r="34" ht="23" customHeight="1">
      <x:c r="A34" s="11" t="str">
        <x:v>R014-L01</x:v>
      </x:c>
      <x:c r="B34" s="11" t="str">
        <x:v>R014</x:v>
      </x:c>
      <x:c r="C34" s="12" t="n">
        <x:v>1</x:v>
      </x:c>
      <x:c r="D34" s="11" t="str">
        <x:v>P001</x:v>
      </x:c>
      <x:c r="E34" s="11" t="str">
        <x:v>아이스 아메리카노</x:v>
      </x:c>
      <x:c r="F34" s="11" t="str">
        <x:v>커피</x:v>
      </x:c>
      <x:c r="G34" s="15" t="n">
        <x:v>1</x:v>
      </x:c>
      <x:c r="H34" s="15" t="n">
        <x:v>4500</x:v>
      </x:c>
      <x:c r="I34" s="15" t="n">
        <x:f>G34*H34</x:f>
        <x:v>4500</x:v>
      </x:c>
      <x:c r="J34" s="15" t="n">
        <x:v>0</x:v>
      </x:c>
      <x:c r="K34" s="15" t="n">
        <x:f>I34-J34</x:f>
        <x:v>4500</x:v>
      </x:c>
    </x:row>
    <x:row r="35" ht="23" customHeight="1">
      <x:c r="A35" s="4" t="str">
        <x:v>R014-L02</x:v>
      </x:c>
      <x:c r="B35" s="4" t="str">
        <x:v>R014</x:v>
      </x:c>
      <x:c r="C35" s="5" t="n">
        <x:v>2</x:v>
      </x:c>
      <x:c r="D35" s="4" t="str">
        <x:v>P019</x:v>
      </x:c>
      <x:c r="E35" s="4" t="str">
        <x:v>햄치즈샌드위치</x:v>
      </x:c>
      <x:c r="F35" s="4" t="str">
        <x:v>식사</x:v>
      </x:c>
      <x:c r="G35" s="16" t="n">
        <x:v>1</x:v>
      </x:c>
      <x:c r="H35" s="16" t="n">
        <x:v>7500</x:v>
      </x:c>
      <x:c r="I35" s="16" t="n">
        <x:f>G35*H35</x:f>
        <x:v>7500</x:v>
      </x:c>
      <x:c r="J35" s="16" t="n">
        <x:v>0</x:v>
      </x:c>
      <x:c r="K35" s="16" t="n">
        <x:f>I35-J35</x:f>
        <x:v>7500</x:v>
      </x:c>
    </x:row>
    <x:row r="36" ht="23" customHeight="1">
      <x:c r="A36" s="11" t="str">
        <x:v>R015-L01</x:v>
      </x:c>
      <x:c r="B36" s="11" t="str">
        <x:v>R015</x:v>
      </x:c>
      <x:c r="C36" s="12" t="n">
        <x:v>1</x:v>
      </x:c>
      <x:c r="D36" s="11" t="str">
        <x:v>P001</x:v>
      </x:c>
      <x:c r="E36" s="11" t="str">
        <x:v>아이스 아메리카노</x:v>
      </x:c>
      <x:c r="F36" s="11" t="str">
        <x:v>커피</x:v>
      </x:c>
      <x:c r="G36" s="15" t="n">
        <x:v>1</x:v>
      </x:c>
      <x:c r="H36" s="15" t="n">
        <x:v>4500</x:v>
      </x:c>
      <x:c r="I36" s="15" t="n">
        <x:f>G36*H36</x:f>
        <x:v>4500</x:v>
      </x:c>
      <x:c r="J36" s="15" t="n">
        <x:v>0</x:v>
      </x:c>
      <x:c r="K36" s="15" t="n">
        <x:f>I36-J36</x:f>
        <x:v>4500</x:v>
      </x:c>
    </x:row>
    <x:row r="37" ht="23" customHeight="1">
      <x:c r="A37" s="4" t="str">
        <x:v>R015-L02</x:v>
      </x:c>
      <x:c r="B37" s="4" t="str">
        <x:v>R015</x:v>
      </x:c>
      <x:c r="C37" s="5" t="n">
        <x:v>2</x:v>
      </x:c>
      <x:c r="D37" s="4" t="str">
        <x:v>P002</x:v>
      </x:c>
      <x:c r="E37" s="4" t="str">
        <x:v>따뜻한 아메리카노</x:v>
      </x:c>
      <x:c r="F37" s="4" t="str">
        <x:v>커피</x:v>
      </x:c>
      <x:c r="G37" s="16" t="n">
        <x:v>2</x:v>
      </x:c>
      <x:c r="H37" s="16" t="n">
        <x:v>4500</x:v>
      </x:c>
      <x:c r="I37" s="16" t="n">
        <x:f>G37*H37</x:f>
        <x:v>9000</x:v>
      </x:c>
      <x:c r="J37" s="16" t="n">
        <x:v>0</x:v>
      </x:c>
      <x:c r="K37" s="16" t="n">
        <x:f>I37-J37</x:f>
        <x:v>9000</x:v>
      </x:c>
    </x:row>
    <x:row r="38" ht="23" customHeight="1">
      <x:c r="A38" s="11" t="str">
        <x:v>R016-L01</x:v>
      </x:c>
      <x:c r="B38" s="11" t="str">
        <x:v>R016</x:v>
      </x:c>
      <x:c r="C38" s="12" t="n">
        <x:v>1</x:v>
      </x:c>
      <x:c r="D38" s="11" t="str">
        <x:v>P001</x:v>
      </x:c>
      <x:c r="E38" s="11" t="str">
        <x:v>아이스 아메리카노</x:v>
      </x:c>
      <x:c r="F38" s="11" t="str">
        <x:v>커피</x:v>
      </x:c>
      <x:c r="G38" s="15" t="n">
        <x:v>1</x:v>
      </x:c>
      <x:c r="H38" s="15" t="n">
        <x:v>4500</x:v>
      </x:c>
      <x:c r="I38" s="15" t="n">
        <x:f>G38*H38</x:f>
        <x:v>4500</x:v>
      </x:c>
      <x:c r="J38" s="15" t="n">
        <x:v>0</x:v>
      </x:c>
      <x:c r="K38" s="15" t="n">
        <x:f>I38-J38</x:f>
        <x:v>4500</x:v>
      </x:c>
    </x:row>
    <x:row r="39" ht="23" customHeight="1">
      <x:c r="A39" s="4" t="str">
        <x:v>R016-L02</x:v>
      </x:c>
      <x:c r="B39" s="4" t="str">
        <x:v>R016</x:v>
      </x:c>
      <x:c r="C39" s="5" t="n">
        <x:v>2</x:v>
      </x:c>
      <x:c r="D39" s="4" t="str">
        <x:v>P010</x:v>
      </x:c>
      <x:c r="E39" s="4" t="str">
        <x:v>초콜릿라떼</x:v>
      </x:c>
      <x:c r="F39" s="4" t="str">
        <x:v>음료</x:v>
      </x:c>
      <x:c r="G39" s="16" t="n">
        <x:v>1</x:v>
      </x:c>
      <x:c r="H39" s="16" t="n">
        <x:v>5500</x:v>
      </x:c>
      <x:c r="I39" s="16" t="n">
        <x:f>G39*H39</x:f>
        <x:v>5500</x:v>
      </x:c>
      <x:c r="J39" s="16" t="n">
        <x:v>0</x:v>
      </x:c>
      <x:c r="K39" s="16" t="n">
        <x:f>I39-J39</x:f>
        <x:v>5500</x:v>
      </x:c>
    </x:row>
    <x:row r="40" ht="23" customHeight="1">
      <x:c r="A40" s="11" t="str">
        <x:v>R016-L03</x:v>
      </x:c>
      <x:c r="B40" s="11" t="str">
        <x:v>R016</x:v>
      </x:c>
      <x:c r="C40" s="12" t="n">
        <x:v>3</x:v>
      </x:c>
      <x:c r="D40" s="11" t="str">
        <x:v>P004</x:v>
      </x:c>
      <x:c r="E40" s="11" t="str">
        <x:v>바닐라라떼</x:v>
      </x:c>
      <x:c r="F40" s="11" t="str">
        <x:v>커피</x:v>
      </x:c>
      <x:c r="G40" s="15" t="n">
        <x:v>1</x:v>
      </x:c>
      <x:c r="H40" s="15" t="n">
        <x:v>5500</x:v>
      </x:c>
      <x:c r="I40" s="15" t="n">
        <x:f>G40*H40</x:f>
        <x:v>5500</x:v>
      </x:c>
      <x:c r="J40" s="15" t="n">
        <x:v>0</x:v>
      </x:c>
      <x:c r="K40" s="15" t="n">
        <x:f>I40-J40</x:f>
        <x:v>5500</x:v>
      </x:c>
    </x:row>
    <x:row r="41" ht="23" customHeight="1">
      <x:c r="A41" s="4" t="str">
        <x:v>R017-L01</x:v>
      </x:c>
      <x:c r="B41" s="4" t="str">
        <x:v>R017</x:v>
      </x:c>
      <x:c r="C41" s="5" t="n">
        <x:v>1</x:v>
      </x:c>
      <x:c r="D41" s="4" t="str">
        <x:v>P009</x:v>
      </x:c>
      <x:c r="E41" s="4" t="str">
        <x:v>말차라떼</x:v>
      </x:c>
      <x:c r="F41" s="4" t="str">
        <x:v>음료</x:v>
      </x:c>
      <x:c r="G41" s="16" t="n">
        <x:v>2</x:v>
      </x:c>
      <x:c r="H41" s="16" t="n">
        <x:v>5800</x:v>
      </x:c>
      <x:c r="I41" s="16" t="n">
        <x:f>G41*H41</x:f>
        <x:v>11600</x:v>
      </x:c>
      <x:c r="J41" s="16" t="n">
        <x:v>0</x:v>
      </x:c>
      <x:c r="K41" s="16" t="n">
        <x:f>I41-J41</x:f>
        <x:v>11600</x:v>
      </x:c>
    </x:row>
    <x:row r="42" ht="23" customHeight="1">
      <x:c r="A42" s="11" t="str">
        <x:v>R017-L02</x:v>
      </x:c>
      <x:c r="B42" s="11" t="str">
        <x:v>R017</x:v>
      </x:c>
      <x:c r="C42" s="12" t="n">
        <x:v>2</x:v>
      </x:c>
      <x:c r="D42" s="11" t="str">
        <x:v>P018</x:v>
      </x:c>
      <x:c r="E42" s="11" t="str">
        <x:v>마카롱</x:v>
      </x:c>
      <x:c r="F42" s="11" t="str">
        <x:v>디저트</x:v>
      </x:c>
      <x:c r="G42" s="15" t="n">
        <x:v>1</x:v>
      </x:c>
      <x:c r="H42" s="15" t="n">
        <x:v>2800</x:v>
      </x:c>
      <x:c r="I42" s="15" t="n">
        <x:f>G42*H42</x:f>
        <x:v>2800</x:v>
      </x:c>
      <x:c r="J42" s="15" t="n">
        <x:v>0</x:v>
      </x:c>
      <x:c r="K42" s="15" t="n">
        <x:f>I42-J42</x:f>
        <x:v>2800</x:v>
      </x:c>
    </x:row>
    <x:row r="43" ht="23" customHeight="1">
      <x:c r="A43" s="4" t="str">
        <x:v>R017-L03</x:v>
      </x:c>
      <x:c r="B43" s="4" t="str">
        <x:v>R017</x:v>
      </x:c>
      <x:c r="C43" s="5" t="n">
        <x:v>3</x:v>
      </x:c>
      <x:c r="D43" s="4" t="str">
        <x:v>P013</x:v>
      </x:c>
      <x:c r="E43" s="4" t="str">
        <x:v>크루아상</x:v>
      </x:c>
      <x:c r="F43" s="4" t="str">
        <x:v>베이커리</x:v>
      </x:c>
      <x:c r="G43" s="16" t="n">
        <x:v>1</x:v>
      </x:c>
      <x:c r="H43" s="16" t="n">
        <x:v>4000</x:v>
      </x:c>
      <x:c r="I43" s="16" t="n">
        <x:f>G43*H43</x:f>
        <x:v>4000</x:v>
      </x:c>
      <x:c r="J43" s="16" t="n">
        <x:v>0</x:v>
      </x:c>
      <x:c r="K43" s="16" t="n">
        <x:f>I43-J43</x:f>
        <x:v>4000</x:v>
      </x:c>
    </x:row>
    <x:row r="44" ht="23" customHeight="1">
      <x:c r="A44" s="11" t="str">
        <x:v>R017-L04</x:v>
      </x:c>
      <x:c r="B44" s="11" t="str">
        <x:v>R017</x:v>
      </x:c>
      <x:c r="C44" s="12" t="n">
        <x:v>4</x:v>
      </x:c>
      <x:c r="D44" s="11" t="str">
        <x:v>P014</x:v>
      </x:c>
      <x:c r="E44" s="11" t="str">
        <x:v>소금빵</x:v>
      </x:c>
      <x:c r="F44" s="11" t="str">
        <x:v>베이커리</x:v>
      </x:c>
      <x:c r="G44" s="15" t="n">
        <x:v>2</x:v>
      </x:c>
      <x:c r="H44" s="15" t="n">
        <x:v>3500</x:v>
      </x:c>
      <x:c r="I44" s="15" t="n">
        <x:f>G44*H44</x:f>
        <x:v>7000</x:v>
      </x:c>
      <x:c r="J44" s="15" t="n">
        <x:v>0</x:v>
      </x:c>
      <x:c r="K44" s="15" t="n">
        <x:f>I44-J44</x:f>
        <x:v>7000</x:v>
      </x:c>
    </x:row>
    <x:row r="45" ht="23" customHeight="1">
      <x:c r="A45" s="4" t="str">
        <x:v>R018-L01</x:v>
      </x:c>
      <x:c r="B45" s="4" t="str">
        <x:v>R018</x:v>
      </x:c>
      <x:c r="C45" s="5" t="n">
        <x:v>1</x:v>
      </x:c>
      <x:c r="D45" s="4" t="str">
        <x:v>P006</x:v>
      </x:c>
      <x:c r="E45" s="4" t="str">
        <x:v>콜드브루</x:v>
      </x:c>
      <x:c r="F45" s="4" t="str">
        <x:v>커피</x:v>
      </x:c>
      <x:c r="G45" s="16" t="n">
        <x:v>1</x:v>
      </x:c>
      <x:c r="H45" s="16" t="n">
        <x:v>5500</x:v>
      </x:c>
      <x:c r="I45" s="16" t="n">
        <x:f>G45*H45</x:f>
        <x:v>5500</x:v>
      </x:c>
      <x:c r="J45" s="16" t="n">
        <x:v>0</x:v>
      </x:c>
      <x:c r="K45" s="16" t="n">
        <x:f>I45-J45</x:f>
        <x:v>5500</x:v>
      </x:c>
    </x:row>
    <x:row r="46" ht="23" customHeight="1">
      <x:c r="A46" s="11" t="str">
        <x:v>R018-L02</x:v>
      </x:c>
      <x:c r="B46" s="11" t="str">
        <x:v>R018</x:v>
      </x:c>
      <x:c r="C46" s="12" t="n">
        <x:v>2</x:v>
      </x:c>
      <x:c r="D46" s="11" t="str">
        <x:v>P010</x:v>
      </x:c>
      <x:c r="E46" s="11" t="str">
        <x:v>초콜릿라떼</x:v>
      </x:c>
      <x:c r="F46" s="11" t="str">
        <x:v>음료</x:v>
      </x:c>
      <x:c r="G46" s="15" t="n">
        <x:v>2</x:v>
      </x:c>
      <x:c r="H46" s="15" t="n">
        <x:v>5500</x:v>
      </x:c>
      <x:c r="I46" s="15" t="n">
        <x:f>G46*H46</x:f>
        <x:v>11000</x:v>
      </x:c>
      <x:c r="J46" s="15" t="n">
        <x:v>0</x:v>
      </x:c>
      <x:c r="K46" s="15" t="n">
        <x:f>I46-J46</x:f>
        <x:v>11000</x:v>
      </x:c>
    </x:row>
    <x:row r="47" ht="23" customHeight="1">
      <x:c r="A47" s="4" t="str">
        <x:v>R019-L01</x:v>
      </x:c>
      <x:c r="B47" s="4" t="str">
        <x:v>R019</x:v>
      </x:c>
      <x:c r="C47" s="5" t="n">
        <x:v>1</x:v>
      </x:c>
      <x:c r="D47" s="4" t="str">
        <x:v>P006</x:v>
      </x:c>
      <x:c r="E47" s="4" t="str">
        <x:v>콜드브루</x:v>
      </x:c>
      <x:c r="F47" s="4" t="str">
        <x:v>커피</x:v>
      </x:c>
      <x:c r="G47" s="16" t="n">
        <x:v>1</x:v>
      </x:c>
      <x:c r="H47" s="16" t="n">
        <x:v>5500</x:v>
      </x:c>
      <x:c r="I47" s="16" t="n">
        <x:f>G47*H47</x:f>
        <x:v>5500</x:v>
      </x:c>
      <x:c r="J47" s="16" t="n">
        <x:v>0</x:v>
      </x:c>
      <x:c r="K47" s="16" t="n">
        <x:f>I47-J47</x:f>
        <x:v>5500</x:v>
      </x:c>
    </x:row>
    <x:row r="48" ht="23" customHeight="1">
      <x:c r="A48" s="11" t="str">
        <x:v>R020-L01</x:v>
      </x:c>
      <x:c r="B48" s="11" t="str">
        <x:v>R020</x:v>
      </x:c>
      <x:c r="C48" s="12" t="n">
        <x:v>1</x:v>
      </x:c>
      <x:c r="D48" s="11" t="str">
        <x:v>P002</x:v>
      </x:c>
      <x:c r="E48" s="11" t="str">
        <x:v>따뜻한 아메리카노</x:v>
      </x:c>
      <x:c r="F48" s="11" t="str">
        <x:v>커피</x:v>
      </x:c>
      <x:c r="G48" s="15" t="n">
        <x:v>1</x:v>
      </x:c>
      <x:c r="H48" s="15" t="n">
        <x:v>4500</x:v>
      </x:c>
      <x:c r="I48" s="15" t="n">
        <x:f>G48*H48</x:f>
        <x:v>4500</x:v>
      </x:c>
      <x:c r="J48" s="15" t="n">
        <x:v>0</x:v>
      </x:c>
      <x:c r="K48" s="15" t="n">
        <x:f>I48-J48</x:f>
        <x:v>4500</x:v>
      </x:c>
    </x:row>
    <x:row r="49" ht="23" customHeight="1">
      <x:c r="A49" s="4" t="str">
        <x:v>R020-L02</x:v>
      </x:c>
      <x:c r="B49" s="4" t="str">
        <x:v>R020</x:v>
      </x:c>
      <x:c r="C49" s="5" t="n">
        <x:v>2</x:v>
      </x:c>
      <x:c r="D49" s="4" t="str">
        <x:v>P008</x:v>
      </x:c>
      <x:c r="E49" s="4" t="str">
        <x:v>자몽에이드</x:v>
      </x:c>
      <x:c r="F49" s="4" t="str">
        <x:v>음료</x:v>
      </x:c>
      <x:c r="G49" s="16" t="n">
        <x:v>2</x:v>
      </x:c>
      <x:c r="H49" s="16" t="n">
        <x:v>6000</x:v>
      </x:c>
      <x:c r="I49" s="16" t="n">
        <x:f>G49*H49</x:f>
        <x:v>12000</x:v>
      </x:c>
      <x:c r="J49" s="16" t="n">
        <x:v>0</x:v>
      </x:c>
      <x:c r="K49" s="16" t="n">
        <x:f>I49-J49</x:f>
        <x:v>12000</x:v>
      </x:c>
    </x:row>
    <x:row r="50" ht="23" customHeight="1">
      <x:c r="A50" s="11" t="str">
        <x:v>R021-L01</x:v>
      </x:c>
      <x:c r="B50" s="11" t="str">
        <x:v>R021</x:v>
      </x:c>
      <x:c r="C50" s="12" t="n">
        <x:v>1</x:v>
      </x:c>
      <x:c r="D50" s="11" t="str">
        <x:v>P004</x:v>
      </x:c>
      <x:c r="E50" s="11" t="str">
        <x:v>바닐라라떼</x:v>
      </x:c>
      <x:c r="F50" s="11" t="str">
        <x:v>커피</x:v>
      </x:c>
      <x:c r="G50" s="15" t="n">
        <x:v>1</x:v>
      </x:c>
      <x:c r="H50" s="15" t="n">
        <x:v>5500</x:v>
      </x:c>
      <x:c r="I50" s="15" t="n">
        <x:f>G50*H50</x:f>
        <x:v>5500</x:v>
      </x:c>
      <x:c r="J50" s="15" t="n">
        <x:v>0</x:v>
      </x:c>
      <x:c r="K50" s="15" t="n">
        <x:f>I50-J50</x:f>
        <x:v>5500</x:v>
      </x:c>
    </x:row>
    <x:row r="51" ht="23" customHeight="1">
      <x:c r="A51" s="4" t="str">
        <x:v>R022-L01</x:v>
      </x:c>
      <x:c r="B51" s="4" t="str">
        <x:v>R022</x:v>
      </x:c>
      <x:c r="C51" s="5" t="n">
        <x:v>1</x:v>
      </x:c>
      <x:c r="D51" s="4" t="str">
        <x:v>P011</x:v>
      </x:c>
      <x:c r="E51" s="4" t="str">
        <x:v>얼그레이티</x:v>
      </x:c>
      <x:c r="F51" s="4" t="str">
        <x:v>차</x:v>
      </x:c>
      <x:c r="G51" s="16" t="n">
        <x:v>2</x:v>
      </x:c>
      <x:c r="H51" s="16" t="n">
        <x:v>4500</x:v>
      </x:c>
      <x:c r="I51" s="16" t="n">
        <x:f>G51*H51</x:f>
        <x:v>9000</x:v>
      </x:c>
      <x:c r="J51" s="16" t="n">
        <x:v>0</x:v>
      </x:c>
      <x:c r="K51" s="16" t="n">
        <x:f>I51-J51</x:f>
        <x:v>9000</x:v>
      </x:c>
    </x:row>
    <x:row r="52" ht="23" customHeight="1">
      <x:c r="A52" s="11" t="str">
        <x:v>R022-L02</x:v>
      </x:c>
      <x:c r="B52" s="11" t="str">
        <x:v>R022</x:v>
      </x:c>
      <x:c r="C52" s="12" t="n">
        <x:v>2</x:v>
      </x:c>
      <x:c r="D52" s="11" t="str">
        <x:v>P007</x:v>
      </x:c>
      <x:c r="E52" s="11" t="str">
        <x:v>레몬에이드</x:v>
      </x:c>
      <x:c r="F52" s="11" t="str">
        <x:v>음료</x:v>
      </x:c>
      <x:c r="G52" s="15" t="n">
        <x:v>1</x:v>
      </x:c>
      <x:c r="H52" s="15" t="n">
        <x:v>6000</x:v>
      </x:c>
      <x:c r="I52" s="15" t="n">
        <x:f>G52*H52</x:f>
        <x:v>6000</x:v>
      </x:c>
      <x:c r="J52" s="15" t="n">
        <x:v>0</x:v>
      </x:c>
      <x:c r="K52" s="15" t="n">
        <x:f>I52-J52</x:f>
        <x:v>6000</x:v>
      </x:c>
    </x:row>
    <x:row r="53" ht="23" customHeight="1">
      <x:c r="A53" s="4" t="str">
        <x:v>R022-L03</x:v>
      </x:c>
      <x:c r="B53" s="4" t="str">
        <x:v>R022</x:v>
      </x:c>
      <x:c r="C53" s="5" t="n">
        <x:v>3</x:v>
      </x:c>
      <x:c r="D53" s="4" t="str">
        <x:v>P016</x:v>
      </x:c>
      <x:c r="E53" s="4" t="str">
        <x:v>치즈케이크</x:v>
      </x:c>
      <x:c r="F53" s="4" t="str">
        <x:v>디저트</x:v>
      </x:c>
      <x:c r="G53" s="16" t="n">
        <x:v>1</x:v>
      </x:c>
      <x:c r="H53" s="16" t="n">
        <x:v>6500</x:v>
      </x:c>
      <x:c r="I53" s="16" t="n">
        <x:f>G53*H53</x:f>
        <x:v>6500</x:v>
      </x:c>
      <x:c r="J53" s="16" t="n">
        <x:v>0</x:v>
      </x:c>
      <x:c r="K53" s="16" t="n">
        <x:f>I53-J53</x:f>
        <x:v>6500</x:v>
      </x:c>
    </x:row>
    <x:row r="54" ht="23" customHeight="1">
      <x:c r="A54" s="11" t="str">
        <x:v>R023-L01</x:v>
      </x:c>
      <x:c r="B54" s="11" t="str">
        <x:v>R023</x:v>
      </x:c>
      <x:c r="C54" s="12" t="n">
        <x:v>1</x:v>
      </x:c>
      <x:c r="D54" s="11" t="str">
        <x:v>P005</x:v>
      </x:c>
      <x:c r="E54" s="11" t="str">
        <x:v>카푸치노</x:v>
      </x:c>
      <x:c r="F54" s="11" t="str">
        <x:v>커피</x:v>
      </x:c>
      <x:c r="G54" s="15" t="n">
        <x:v>1</x:v>
      </x:c>
      <x:c r="H54" s="15" t="n">
        <x:v>5000</x:v>
      </x:c>
      <x:c r="I54" s="15" t="n">
        <x:f>G54*H54</x:f>
        <x:v>5000</x:v>
      </x:c>
      <x:c r="J54" s="15" t="n">
        <x:v>500</x:v>
      </x:c>
      <x:c r="K54" s="15" t="n">
        <x:f>I54-J54</x:f>
        <x:v>4500</x:v>
      </x:c>
    </x:row>
    <x:row r="55" ht="23" customHeight="1">
      <x:c r="A55" s="4" t="str">
        <x:v>R024-L01</x:v>
      </x:c>
      <x:c r="B55" s="4" t="str">
        <x:v>R024</x:v>
      </x:c>
      <x:c r="C55" s="5" t="n">
        <x:v>1</x:v>
      </x:c>
      <x:c r="D55" s="4" t="str">
        <x:v>P001</x:v>
      </x:c>
      <x:c r="E55" s="4" t="str">
        <x:v>아이스 아메리카노</x:v>
      </x:c>
      <x:c r="F55" s="4" t="str">
        <x:v>커피</x:v>
      </x:c>
      <x:c r="G55" s="16" t="n">
        <x:v>1</x:v>
      </x:c>
      <x:c r="H55" s="16" t="n">
        <x:v>4500</x:v>
      </x:c>
      <x:c r="I55" s="16" t="n">
        <x:f>G55*H55</x:f>
        <x:v>4500</x:v>
      </x:c>
      <x:c r="J55" s="16" t="n">
        <x:v>0</x:v>
      </x:c>
      <x:c r="K55" s="16" t="n">
        <x:f>I55-J55</x:f>
        <x:v>4500</x:v>
      </x:c>
    </x:row>
    <x:row r="56" ht="23" customHeight="1">
      <x:c r="A56" s="11" t="str">
        <x:v>R024-L02</x:v>
      </x:c>
      <x:c r="B56" s="11" t="str">
        <x:v>R024</x:v>
      </x:c>
      <x:c r="C56" s="12" t="n">
        <x:v>2</x:v>
      </x:c>
      <x:c r="D56" s="11" t="str">
        <x:v>P018</x:v>
      </x:c>
      <x:c r="E56" s="11" t="str">
        <x:v>마카롱</x:v>
      </x:c>
      <x:c r="F56" s="11" t="str">
        <x:v>디저트</x:v>
      </x:c>
      <x:c r="G56" s="15" t="n">
        <x:v>2</x:v>
      </x:c>
      <x:c r="H56" s="15" t="n">
        <x:v>2800</x:v>
      </x:c>
      <x:c r="I56" s="15" t="n">
        <x:f>G56*H56</x:f>
        <x:v>5600</x:v>
      </x:c>
      <x:c r="J56" s="15" t="n">
        <x:v>0</x:v>
      </x:c>
      <x:c r="K56" s="15" t="n">
        <x:f>I56-J56</x:f>
        <x:v>5600</x:v>
      </x:c>
    </x:row>
    <x:row r="57" ht="23" customHeight="1">
      <x:c r="A57" s="4" t="str">
        <x:v>R025-L01</x:v>
      </x:c>
      <x:c r="B57" s="4" t="str">
        <x:v>R025</x:v>
      </x:c>
      <x:c r="C57" s="5" t="n">
        <x:v>1</x:v>
      </x:c>
      <x:c r="D57" s="4" t="str">
        <x:v>P002</x:v>
      </x:c>
      <x:c r="E57" s="4" t="str">
        <x:v>따뜻한 아메리카노</x:v>
      </x:c>
      <x:c r="F57" s="4" t="str">
        <x:v>커피</x:v>
      </x:c>
      <x:c r="G57" s="16" t="n">
        <x:v>1</x:v>
      </x:c>
      <x:c r="H57" s="16" t="n">
        <x:v>4500</x:v>
      </x:c>
      <x:c r="I57" s="16" t="n">
        <x:f>G57*H57</x:f>
        <x:v>4500</x:v>
      </x:c>
      <x:c r="J57" s="16" t="n">
        <x:v>0</x:v>
      </x:c>
      <x:c r="K57" s="16" t="n">
        <x:f>I57-J57</x:f>
        <x:v>4500</x:v>
      </x:c>
    </x:row>
    <x:row r="58" ht="23" customHeight="1">
      <x:c r="A58" s="11" t="str">
        <x:v>R025-L02</x:v>
      </x:c>
      <x:c r="B58" s="11" t="str">
        <x:v>R025</x:v>
      </x:c>
      <x:c r="C58" s="12" t="n">
        <x:v>2</x:v>
      </x:c>
      <x:c r="D58" s="11" t="str">
        <x:v>P003</x:v>
      </x:c>
      <x:c r="E58" s="11" t="str">
        <x:v>카페라떼</x:v>
      </x:c>
      <x:c r="F58" s="11" t="str">
        <x:v>커피</x:v>
      </x:c>
      <x:c r="G58" s="15" t="n">
        <x:v>1</x:v>
      </x:c>
      <x:c r="H58" s="15" t="n">
        <x:v>5000</x:v>
      </x:c>
      <x:c r="I58" s="15" t="n">
        <x:f>G58*H58</x:f>
        <x:v>5000</x:v>
      </x:c>
      <x:c r="J58" s="15" t="n">
        <x:v>0</x:v>
      </x:c>
      <x:c r="K58" s="15" t="n">
        <x:f>I58-J58</x:f>
        <x:v>5000</x:v>
      </x:c>
    </x:row>
    <x:row r="59" ht="23" customHeight="1">
      <x:c r="A59" s="4" t="str">
        <x:v>R025-L03</x:v>
      </x:c>
      <x:c r="B59" s="4" t="str">
        <x:v>R025</x:v>
      </x:c>
      <x:c r="C59" s="5" t="n">
        <x:v>3</x:v>
      </x:c>
      <x:c r="D59" s="4" t="str">
        <x:v>P004</x:v>
      </x:c>
      <x:c r="E59" s="4" t="str">
        <x:v>바닐라라떼</x:v>
      </x:c>
      <x:c r="F59" s="4" t="str">
        <x:v>커피</x:v>
      </x:c>
      <x:c r="G59" s="16" t="n">
        <x:v>1</x:v>
      </x:c>
      <x:c r="H59" s="16" t="n">
        <x:v>5500</x:v>
      </x:c>
      <x:c r="I59" s="16" t="n">
        <x:f>G59*H59</x:f>
        <x:v>5500</x:v>
      </x:c>
      <x:c r="J59" s="16" t="n">
        <x:v>0</x:v>
      </x:c>
      <x:c r="K59" s="16" t="n">
        <x:f>I59-J59</x:f>
        <x:v>5500</x:v>
      </x:c>
    </x:row>
    <x:row r="60" ht="23" customHeight="1">
      <x:c r="A60" s="11" t="str">
        <x:v>R026-L01</x:v>
      </x:c>
      <x:c r="B60" s="11" t="str">
        <x:v>R026</x:v>
      </x:c>
      <x:c r="C60" s="12" t="n">
        <x:v>1</x:v>
      </x:c>
      <x:c r="D60" s="11" t="str">
        <x:v>P006</x:v>
      </x:c>
      <x:c r="E60" s="11" t="str">
        <x:v>콜드브루</x:v>
      </x:c>
      <x:c r="F60" s="11" t="str">
        <x:v>커피</x:v>
      </x:c>
      <x:c r="G60" s="15" t="n">
        <x:v>2</x:v>
      </x:c>
      <x:c r="H60" s="15" t="n">
        <x:v>5500</x:v>
      </x:c>
      <x:c r="I60" s="15" t="n">
        <x:f>G60*H60</x:f>
        <x:v>11000</x:v>
      </x:c>
      <x:c r="J60" s="15" t="n">
        <x:v>0</x:v>
      </x:c>
      <x:c r="K60" s="15" t="n">
        <x:f>I60-J60</x:f>
        <x:v>11000</x:v>
      </x:c>
    </x:row>
    <x:row r="61" ht="23" customHeight="1">
      <x:c r="A61" s="4" t="str">
        <x:v>R026-L02</x:v>
      </x:c>
      <x:c r="B61" s="4" t="str">
        <x:v>R026</x:v>
      </x:c>
      <x:c r="C61" s="5" t="n">
        <x:v>2</x:v>
      </x:c>
      <x:c r="D61" s="4" t="str">
        <x:v>P003</x:v>
      </x:c>
      <x:c r="E61" s="4" t="str">
        <x:v>카페라떼</x:v>
      </x:c>
      <x:c r="F61" s="4" t="str">
        <x:v>커피</x:v>
      </x:c>
      <x:c r="G61" s="16" t="n">
        <x:v>2</x:v>
      </x:c>
      <x:c r="H61" s="16" t="n">
        <x:v>5000</x:v>
      </x:c>
      <x:c r="I61" s="16" t="n">
        <x:f>G61*H61</x:f>
        <x:v>10000</x:v>
      </x:c>
      <x:c r="J61" s="16" t="n">
        <x:v>0</x:v>
      </x:c>
      <x:c r="K61" s="16" t="n">
        <x:f>I61-J61</x:f>
        <x:v>10000</x:v>
      </x:c>
    </x:row>
    <x:row r="62" ht="23" customHeight="1">
      <x:c r="A62" s="11" t="str">
        <x:v>R027-L01</x:v>
      </x:c>
      <x:c r="B62" s="11" t="str">
        <x:v>R027</x:v>
      </x:c>
      <x:c r="C62" s="12" t="n">
        <x:v>1</x:v>
      </x:c>
      <x:c r="D62" s="11" t="str">
        <x:v>P002</x:v>
      </x:c>
      <x:c r="E62" s="11" t="str">
        <x:v>따뜻한 아메리카노</x:v>
      </x:c>
      <x:c r="F62" s="11" t="str">
        <x:v>커피</x:v>
      </x:c>
      <x:c r="G62" s="15" t="n">
        <x:v>2</x:v>
      </x:c>
      <x:c r="H62" s="15" t="n">
        <x:v>4500</x:v>
      </x:c>
      <x:c r="I62" s="15" t="n">
        <x:f>G62*H62</x:f>
        <x:v>9000</x:v>
      </x:c>
      <x:c r="J62" s="15" t="n">
        <x:v>0</x:v>
      </x:c>
      <x:c r="K62" s="15" t="n">
        <x:f>I62-J62</x:f>
        <x:v>9000</x:v>
      </x:c>
    </x:row>
    <x:row r="63" ht="23" customHeight="1">
      <x:c r="A63" s="4" t="str">
        <x:v>R027-L02</x:v>
      </x:c>
      <x:c r="B63" s="4" t="str">
        <x:v>R027</x:v>
      </x:c>
      <x:c r="C63" s="5" t="n">
        <x:v>2</x:v>
      </x:c>
      <x:c r="D63" s="4" t="str">
        <x:v>P013</x:v>
      </x:c>
      <x:c r="E63" s="4" t="str">
        <x:v>크루아상</x:v>
      </x:c>
      <x:c r="F63" s="4" t="str">
        <x:v>베이커리</x:v>
      </x:c>
      <x:c r="G63" s="16" t="n">
        <x:v>1</x:v>
      </x:c>
      <x:c r="H63" s="16" t="n">
        <x:v>4000</x:v>
      </x:c>
      <x:c r="I63" s="16" t="n">
        <x:f>G63*H63</x:f>
        <x:v>4000</x:v>
      </x:c>
      <x:c r="J63" s="16" t="n">
        <x:v>0</x:v>
      </x:c>
      <x:c r="K63" s="16" t="n">
        <x:f>I63-J63</x:f>
        <x:v>4000</x:v>
      </x:c>
    </x:row>
    <x:row r="64" ht="23" customHeight="1">
      <x:c r="A64" s="11" t="str">
        <x:v>R027-L03</x:v>
      </x:c>
      <x:c r="B64" s="11" t="str">
        <x:v>R027</x:v>
      </x:c>
      <x:c r="C64" s="12" t="n">
        <x:v>3</x:v>
      </x:c>
      <x:c r="D64" s="11" t="str">
        <x:v>P019</x:v>
      </x:c>
      <x:c r="E64" s="11" t="str">
        <x:v>햄치즈샌드위치</x:v>
      </x:c>
      <x:c r="F64" s="11" t="str">
        <x:v>식사</x:v>
      </x:c>
      <x:c r="G64" s="15" t="n">
        <x:v>1</x:v>
      </x:c>
      <x:c r="H64" s="15" t="n">
        <x:v>7500</x:v>
      </x:c>
      <x:c r="I64" s="15" t="n">
        <x:f>G64*H64</x:f>
        <x:v>7500</x:v>
      </x:c>
      <x:c r="J64" s="15" t="n">
        <x:v>0</x:v>
      </x:c>
      <x:c r="K64" s="15" t="n">
        <x:f>I64-J64</x:f>
        <x:v>7500</x:v>
      </x:c>
    </x:row>
    <x:row r="65" ht="23" customHeight="1">
      <x:c r="A65" s="4" t="str">
        <x:v>R028-L01</x:v>
      </x:c>
      <x:c r="B65" s="4" t="str">
        <x:v>R028</x:v>
      </x:c>
      <x:c r="C65" s="5" t="n">
        <x:v>1</x:v>
      </x:c>
      <x:c r="D65" s="4" t="str">
        <x:v>P011</x:v>
      </x:c>
      <x:c r="E65" s="4" t="str">
        <x:v>얼그레이티</x:v>
      </x:c>
      <x:c r="F65" s="4" t="str">
        <x:v>차</x:v>
      </x:c>
      <x:c r="G65" s="16" t="n">
        <x:v>1</x:v>
      </x:c>
      <x:c r="H65" s="16" t="n">
        <x:v>4500</x:v>
      </x:c>
      <x:c r="I65" s="16" t="n">
        <x:f>G65*H65</x:f>
        <x:v>4500</x:v>
      </x:c>
      <x:c r="J65" s="16" t="n">
        <x:v>0</x:v>
      </x:c>
      <x:c r="K65" s="16" t="n">
        <x:f>I65-J65</x:f>
        <x:v>4500</x:v>
      </x:c>
    </x:row>
    <x:row r="66" ht="23" customHeight="1">
      <x:c r="A66" s="11" t="str">
        <x:v>R029-L01</x:v>
      </x:c>
      <x:c r="B66" s="11" t="str">
        <x:v>R029</x:v>
      </x:c>
      <x:c r="C66" s="12" t="n">
        <x:v>1</x:v>
      </x:c>
      <x:c r="D66" s="11" t="str">
        <x:v>P003</x:v>
      </x:c>
      <x:c r="E66" s="11" t="str">
        <x:v>카페라떼</x:v>
      </x:c>
      <x:c r="F66" s="11" t="str">
        <x:v>커피</x:v>
      </x:c>
      <x:c r="G66" s="15" t="n">
        <x:v>1</x:v>
      </x:c>
      <x:c r="H66" s="15" t="n">
        <x:v>5000</x:v>
      </x:c>
      <x:c r="I66" s="15" t="n">
        <x:f>G66*H66</x:f>
        <x:v>5000</x:v>
      </x:c>
      <x:c r="J66" s="15" t="n">
        <x:v>0</x:v>
      </x:c>
      <x:c r="K66" s="15" t="n">
        <x:f>I66-J66</x:f>
        <x:v>5000</x:v>
      </x:c>
    </x:row>
    <x:row r="67" ht="23" customHeight="1">
      <x:c r="A67" s="4" t="str">
        <x:v>R029-L02</x:v>
      </x:c>
      <x:c r="B67" s="4" t="str">
        <x:v>R029</x:v>
      </x:c>
      <x:c r="C67" s="5" t="n">
        <x:v>2</x:v>
      </x:c>
      <x:c r="D67" s="4" t="str">
        <x:v>P018</x:v>
      </x:c>
      <x:c r="E67" s="4" t="str">
        <x:v>마카롱</x:v>
      </x:c>
      <x:c r="F67" s="4" t="str">
        <x:v>디저트</x:v>
      </x:c>
      <x:c r="G67" s="16" t="n">
        <x:v>2</x:v>
      </x:c>
      <x:c r="H67" s="16" t="n">
        <x:v>2800</x:v>
      </x:c>
      <x:c r="I67" s="16" t="n">
        <x:f>G67*H67</x:f>
        <x:v>5600</x:v>
      </x:c>
      <x:c r="J67" s="16" t="n">
        <x:v>0</x:v>
      </x:c>
      <x:c r="K67" s="16" t="n">
        <x:f>I67-J67</x:f>
        <x:v>5600</x:v>
      </x:c>
    </x:row>
    <x:row r="68" ht="23" customHeight="1">
      <x:c r="A68" s="11" t="str">
        <x:v>R030-L01</x:v>
      </x:c>
      <x:c r="B68" s="11" t="str">
        <x:v>R030</x:v>
      </x:c>
      <x:c r="C68" s="12" t="n">
        <x:v>1</x:v>
      </x:c>
      <x:c r="D68" s="11" t="str">
        <x:v>P011</x:v>
      </x:c>
      <x:c r="E68" s="11" t="str">
        <x:v>얼그레이티</x:v>
      </x:c>
      <x:c r="F68" s="11" t="str">
        <x:v>차</x:v>
      </x:c>
      <x:c r="G68" s="15" t="n">
        <x:v>1</x:v>
      </x:c>
      <x:c r="H68" s="15" t="n">
        <x:v>4500</x:v>
      </x:c>
      <x:c r="I68" s="15" t="n">
        <x:f>G68*H68</x:f>
        <x:v>4500</x:v>
      </x:c>
      <x:c r="J68" s="15" t="n">
        <x:v>0</x:v>
      </x:c>
      <x:c r="K68" s="15" t="n">
        <x:f>I68-J68</x:f>
        <x:v>4500</x:v>
      </x:c>
    </x:row>
    <x:row r="69" ht="23" customHeight="1">
      <x:c r="A69" s="4" t="str">
        <x:v>R031-L01</x:v>
      </x:c>
      <x:c r="B69" s="4" t="str">
        <x:v>R031</x:v>
      </x:c>
      <x:c r="C69" s="5" t="n">
        <x:v>1</x:v>
      </x:c>
      <x:c r="D69" s="4" t="str">
        <x:v>P011</x:v>
      </x:c>
      <x:c r="E69" s="4" t="str">
        <x:v>얼그레이티</x:v>
      </x:c>
      <x:c r="F69" s="4" t="str">
        <x:v>차</x:v>
      </x:c>
      <x:c r="G69" s="16" t="n">
        <x:v>1</x:v>
      </x:c>
      <x:c r="H69" s="16" t="n">
        <x:v>4500</x:v>
      </x:c>
      <x:c r="I69" s="16" t="n">
        <x:f>G69*H69</x:f>
        <x:v>4500</x:v>
      </x:c>
      <x:c r="J69" s="16" t="n">
        <x:v>1000</x:v>
      </x:c>
      <x:c r="K69" s="16" t="n">
        <x:f>I69-J69</x:f>
        <x:v>3500</x:v>
      </x:c>
    </x:row>
    <x:row r="70" ht="23" customHeight="1">
      <x:c r="A70" s="11" t="str">
        <x:v>R031-L02</x:v>
      </x:c>
      <x:c r="B70" s="11" t="str">
        <x:v>R031</x:v>
      </x:c>
      <x:c r="C70" s="12" t="n">
        <x:v>2</x:v>
      </x:c>
      <x:c r="D70" s="11" t="str">
        <x:v>P014</x:v>
      </x:c>
      <x:c r="E70" s="11" t="str">
        <x:v>소금빵</x:v>
      </x:c>
      <x:c r="F70" s="11" t="str">
        <x:v>베이커리</x:v>
      </x:c>
      <x:c r="G70" s="15" t="n">
        <x:v>1</x:v>
      </x:c>
      <x:c r="H70" s="15" t="n">
        <x:v>3500</x:v>
      </x:c>
      <x:c r="I70" s="15" t="n">
        <x:f>G70*H70</x:f>
        <x:v>3500</x:v>
      </x:c>
      <x:c r="J70" s="15" t="n">
        <x:v>0</x:v>
      </x:c>
      <x:c r="K70" s="15" t="n">
        <x:f>I70-J70</x:f>
        <x:v>3500</x:v>
      </x:c>
    </x:row>
    <x:row r="71" ht="23" customHeight="1">
      <x:c r="A71" s="4" t="str">
        <x:v>R031-L03</x:v>
      </x:c>
      <x:c r="B71" s="4" t="str">
        <x:v>R031</x:v>
      </x:c>
      <x:c r="C71" s="5" t="n">
        <x:v>3</x:v>
      </x:c>
      <x:c r="D71" s="4" t="str">
        <x:v>P013</x:v>
      </x:c>
      <x:c r="E71" s="4" t="str">
        <x:v>크루아상</x:v>
      </x:c>
      <x:c r="F71" s="4" t="str">
        <x:v>베이커리</x:v>
      </x:c>
      <x:c r="G71" s="16" t="n">
        <x:v>1</x:v>
      </x:c>
      <x:c r="H71" s="16" t="n">
        <x:v>4000</x:v>
      </x:c>
      <x:c r="I71" s="16" t="n">
        <x:f>G71*H71</x:f>
        <x:v>4000</x:v>
      </x:c>
      <x:c r="J71" s="16" t="n">
        <x:v>0</x:v>
      </x:c>
      <x:c r="K71" s="16" t="n">
        <x:f>I71-J71</x:f>
        <x:v>4000</x:v>
      </x:c>
    </x:row>
    <x:row r="72" ht="23" customHeight="1">
      <x:c r="A72" s="11" t="str">
        <x:v>R032-L01</x:v>
      </x:c>
      <x:c r="B72" s="11" t="str">
        <x:v>R032</x:v>
      </x:c>
      <x:c r="C72" s="12" t="n">
        <x:v>1</x:v>
      </x:c>
      <x:c r="D72" s="11" t="str">
        <x:v>P003</x:v>
      </x:c>
      <x:c r="E72" s="11" t="str">
        <x:v>카페라떼</x:v>
      </x:c>
      <x:c r="F72" s="11" t="str">
        <x:v>커피</x:v>
      </x:c>
      <x:c r="G72" s="15" t="n">
        <x:v>1</x:v>
      </x:c>
      <x:c r="H72" s="15" t="n">
        <x:v>5000</x:v>
      </x:c>
      <x:c r="I72" s="15" t="n">
        <x:f>G72*H72</x:f>
        <x:v>5000</x:v>
      </x:c>
      <x:c r="J72" s="15" t="n">
        <x:v>0</x:v>
      </x:c>
      <x:c r="K72" s="15" t="n">
        <x:f>I72-J72</x:f>
        <x:v>5000</x:v>
      </x:c>
    </x:row>
    <x:row r="73" ht="23" customHeight="1">
      <x:c r="A73" s="4" t="str">
        <x:v>R033-L01</x:v>
      </x:c>
      <x:c r="B73" s="4" t="str">
        <x:v>R033</x:v>
      </x:c>
      <x:c r="C73" s="5" t="n">
        <x:v>1</x:v>
      </x:c>
      <x:c r="D73" s="4" t="str">
        <x:v>P001</x:v>
      </x:c>
      <x:c r="E73" s="4" t="str">
        <x:v>아이스 아메리카노</x:v>
      </x:c>
      <x:c r="F73" s="4" t="str">
        <x:v>커피</x:v>
      </x:c>
      <x:c r="G73" s="16" t="n">
        <x:v>2</x:v>
      </x:c>
      <x:c r="H73" s="16" t="n">
        <x:v>4500</x:v>
      </x:c>
      <x:c r="I73" s="16" t="n">
        <x:f>G73*H73</x:f>
        <x:v>9000</x:v>
      </x:c>
      <x:c r="J73" s="16" t="n">
        <x:v>0</x:v>
      </x:c>
      <x:c r="K73" s="16" t="n">
        <x:f>I73-J73</x:f>
        <x:v>9000</x:v>
      </x:c>
    </x:row>
    <x:row r="74" ht="23" customHeight="1">
      <x:c r="A74" s="11" t="str">
        <x:v>R034-L01</x:v>
      </x:c>
      <x:c r="B74" s="11" t="str">
        <x:v>R034</x:v>
      </x:c>
      <x:c r="C74" s="12" t="n">
        <x:v>1</x:v>
      </x:c>
      <x:c r="D74" s="11" t="str">
        <x:v>P009</x:v>
      </x:c>
      <x:c r="E74" s="11" t="str">
        <x:v>말차라떼</x:v>
      </x:c>
      <x:c r="F74" s="11" t="str">
        <x:v>음료</x:v>
      </x:c>
      <x:c r="G74" s="15" t="n">
        <x:v>1</x:v>
      </x:c>
      <x:c r="H74" s="15" t="n">
        <x:v>5800</x:v>
      </x:c>
      <x:c r="I74" s="15" t="n">
        <x:f>G74*H74</x:f>
        <x:v>5800</x:v>
      </x:c>
      <x:c r="J74" s="15" t="n">
        <x:v>0</x:v>
      </x:c>
      <x:c r="K74" s="15" t="n">
        <x:f>I74-J74</x:f>
        <x:v>5800</x:v>
      </x:c>
    </x:row>
    <x:row r="75" ht="23" customHeight="1">
      <x:c r="A75" s="4" t="str">
        <x:v>R034-L02</x:v>
      </x:c>
      <x:c r="B75" s="4" t="str">
        <x:v>R034</x:v>
      </x:c>
      <x:c r="C75" s="5" t="n">
        <x:v>2</x:v>
      </x:c>
      <x:c r="D75" s="4" t="str">
        <x:v>P017</x:v>
      </x:c>
      <x:c r="E75" s="4" t="str">
        <x:v>초콜릿브라우니</x:v>
      </x:c>
      <x:c r="F75" s="4" t="str">
        <x:v>디저트</x:v>
      </x:c>
      <x:c r="G75" s="16" t="n">
        <x:v>2</x:v>
      </x:c>
      <x:c r="H75" s="16" t="n">
        <x:v>4800</x:v>
      </x:c>
      <x:c r="I75" s="16" t="n">
        <x:f>G75*H75</x:f>
        <x:v>9600</x:v>
      </x:c>
      <x:c r="J75" s="16" t="n">
        <x:v>0</x:v>
      </x:c>
      <x:c r="K75" s="16" t="n">
        <x:f>I75-J75</x:f>
        <x:v>9600</x:v>
      </x:c>
    </x:row>
    <x:row r="76" ht="23" customHeight="1">
      <x:c r="A76" s="11" t="str">
        <x:v>R034-L03</x:v>
      </x:c>
      <x:c r="B76" s="11" t="str">
        <x:v>R034</x:v>
      </x:c>
      <x:c r="C76" s="12" t="n">
        <x:v>3</x:v>
      </x:c>
      <x:c r="D76" s="11" t="str">
        <x:v>P013</x:v>
      </x:c>
      <x:c r="E76" s="11" t="str">
        <x:v>크루아상</x:v>
      </x:c>
      <x:c r="F76" s="11" t="str">
        <x:v>베이커리</x:v>
      </x:c>
      <x:c r="G76" s="15" t="n">
        <x:v>1</x:v>
      </x:c>
      <x:c r="H76" s="15" t="n">
        <x:v>4000</x:v>
      </x:c>
      <x:c r="I76" s="15" t="n">
        <x:f>G76*H76</x:f>
        <x:v>4000</x:v>
      </x:c>
      <x:c r="J76" s="15" t="n">
        <x:v>0</x:v>
      </x:c>
      <x:c r="K76" s="15" t="n">
        <x:f>I76-J76</x:f>
        <x:v>4000</x:v>
      </x:c>
    </x:row>
    <x:row r="77" ht="23" customHeight="1">
      <x:c r="A77" s="4" t="str">
        <x:v>R035-L01</x:v>
      </x:c>
      <x:c r="B77" s="4" t="str">
        <x:v>R035</x:v>
      </x:c>
      <x:c r="C77" s="5" t="n">
        <x:v>1</x:v>
      </x:c>
      <x:c r="D77" s="4" t="str">
        <x:v>P001</x:v>
      </x:c>
      <x:c r="E77" s="4" t="str">
        <x:v>아이스 아메리카노</x:v>
      </x:c>
      <x:c r="F77" s="4" t="str">
        <x:v>커피</x:v>
      </x:c>
      <x:c r="G77" s="16" t="n">
        <x:v>2</x:v>
      </x:c>
      <x:c r="H77" s="16" t="n">
        <x:v>4500</x:v>
      </x:c>
      <x:c r="I77" s="16" t="n">
        <x:f>G77*H77</x:f>
        <x:v>9000</x:v>
      </x:c>
      <x:c r="J77" s="16" t="n">
        <x:v>0</x:v>
      </x:c>
      <x:c r="K77" s="16" t="n">
        <x:f>I77-J77</x:f>
        <x:v>9000</x:v>
      </x:c>
    </x:row>
    <x:row r="78" ht="23" customHeight="1">
      <x:c r="A78" s="11" t="str">
        <x:v>R035-L02</x:v>
      </x:c>
      <x:c r="B78" s="11" t="str">
        <x:v>R035</x:v>
      </x:c>
      <x:c r="C78" s="12" t="n">
        <x:v>2</x:v>
      </x:c>
      <x:c r="D78" s="11" t="str">
        <x:v>P014</x:v>
      </x:c>
      <x:c r="E78" s="11" t="str">
        <x:v>소금빵</x:v>
      </x:c>
      <x:c r="F78" s="11" t="str">
        <x:v>베이커리</x:v>
      </x:c>
      <x:c r="G78" s="15" t="n">
        <x:v>1</x:v>
      </x:c>
      <x:c r="H78" s="15" t="n">
        <x:v>3500</x:v>
      </x:c>
      <x:c r="I78" s="15" t="n">
        <x:f>G78*H78</x:f>
        <x:v>3500</x:v>
      </x:c>
      <x:c r="J78" s="15" t="n">
        <x:v>0</x:v>
      </x:c>
      <x:c r="K78" s="15" t="n">
        <x:f>I78-J78</x:f>
        <x:v>3500</x:v>
      </x:c>
    </x:row>
    <x:row r="79" ht="23" customHeight="1">
      <x:c r="A79" s="4" t="str">
        <x:v>R035-L03</x:v>
      </x:c>
      <x:c r="B79" s="4" t="str">
        <x:v>R035</x:v>
      </x:c>
      <x:c r="C79" s="5" t="n">
        <x:v>3</x:v>
      </x:c>
      <x:c r="D79" s="4" t="str">
        <x:v>P016</x:v>
      </x:c>
      <x:c r="E79" s="4" t="str">
        <x:v>치즈케이크</x:v>
      </x:c>
      <x:c r="F79" s="4" t="str">
        <x:v>디저트</x:v>
      </x:c>
      <x:c r="G79" s="16" t="n">
        <x:v>1</x:v>
      </x:c>
      <x:c r="H79" s="16" t="n">
        <x:v>6500</x:v>
      </x:c>
      <x:c r="I79" s="16" t="n">
        <x:f>G79*H79</x:f>
        <x:v>6500</x:v>
      </x:c>
      <x:c r="J79" s="16" t="n">
        <x:v>0</x:v>
      </x:c>
      <x:c r="K79" s="16" t="n">
        <x:f>I79-J79</x:f>
        <x:v>6500</x:v>
      </x:c>
    </x:row>
    <x:row r="80" ht="23" customHeight="1">
      <x:c r="A80" s="11" t="str">
        <x:v>R036-L01</x:v>
      </x:c>
      <x:c r="B80" s="11" t="str">
        <x:v>R036</x:v>
      </x:c>
      <x:c r="C80" s="12" t="n">
        <x:v>1</x:v>
      </x:c>
      <x:c r="D80" s="11" t="str">
        <x:v>P005</x:v>
      </x:c>
      <x:c r="E80" s="11" t="str">
        <x:v>카푸치노</x:v>
      </x:c>
      <x:c r="F80" s="11" t="str">
        <x:v>커피</x:v>
      </x:c>
      <x:c r="G80" s="15" t="n">
        <x:v>1</x:v>
      </x:c>
      <x:c r="H80" s="15" t="n">
        <x:v>5000</x:v>
      </x:c>
      <x:c r="I80" s="15" t="n">
        <x:f>G80*H80</x:f>
        <x:v>5000</x:v>
      </x:c>
      <x:c r="J80" s="15" t="n">
        <x:v>0</x:v>
      </x:c>
      <x:c r="K80" s="15" t="n">
        <x:f>I80-J80</x:f>
        <x:v>5000</x:v>
      </x:c>
    </x:row>
    <x:row r="81" ht="23" customHeight="1">
      <x:c r="A81" s="4" t="str">
        <x:v>R036-L02</x:v>
      </x:c>
      <x:c r="B81" s="4" t="str">
        <x:v>R036</x:v>
      </x:c>
      <x:c r="C81" s="5" t="n">
        <x:v>2</x:v>
      </x:c>
      <x:c r="D81" s="4" t="str">
        <x:v>P010</x:v>
      </x:c>
      <x:c r="E81" s="4" t="str">
        <x:v>초콜릿라떼</x:v>
      </x:c>
      <x:c r="F81" s="4" t="str">
        <x:v>음료</x:v>
      </x:c>
      <x:c r="G81" s="16" t="n">
        <x:v>2</x:v>
      </x:c>
      <x:c r="H81" s="16" t="n">
        <x:v>5500</x:v>
      </x:c>
      <x:c r="I81" s="16" t="n">
        <x:f>G81*H81</x:f>
        <x:v>11000</x:v>
      </x:c>
      <x:c r="J81" s="16" t="n">
        <x:v>0</x:v>
      </x:c>
      <x:c r="K81" s="16" t="n">
        <x:f>I81-J81</x:f>
        <x:v>11000</x:v>
      </x:c>
    </x:row>
    <x:row r="82" ht="23" customHeight="1">
      <x:c r="A82" s="11" t="str">
        <x:v>R037-L01</x:v>
      </x:c>
      <x:c r="B82" s="11" t="str">
        <x:v>R037</x:v>
      </x:c>
      <x:c r="C82" s="12" t="n">
        <x:v>1</x:v>
      </x:c>
      <x:c r="D82" s="11" t="str">
        <x:v>P009</x:v>
      </x:c>
      <x:c r="E82" s="11" t="str">
        <x:v>말차라떼</x:v>
      </x:c>
      <x:c r="F82" s="11" t="str">
        <x:v>음료</x:v>
      </x:c>
      <x:c r="G82" s="15" t="n">
        <x:v>2</x:v>
      </x:c>
      <x:c r="H82" s="15" t="n">
        <x:v>5800</x:v>
      </x:c>
      <x:c r="I82" s="15" t="n">
        <x:f>G82*H82</x:f>
        <x:v>11600</x:v>
      </x:c>
      <x:c r="J82" s="15" t="n">
        <x:v>1000</x:v>
      </x:c>
      <x:c r="K82" s="15" t="n">
        <x:f>I82-J82</x:f>
        <x:v>10600</x:v>
      </x:c>
    </x:row>
    <x:row r="83" ht="23" customHeight="1">
      <x:c r="A83" s="4" t="str">
        <x:v>R038-L01</x:v>
      </x:c>
      <x:c r="B83" s="4" t="str">
        <x:v>R038</x:v>
      </x:c>
      <x:c r="C83" s="5" t="n">
        <x:v>1</x:v>
      </x:c>
      <x:c r="D83" s="4" t="str">
        <x:v>P007</x:v>
      </x:c>
      <x:c r="E83" s="4" t="str">
        <x:v>레몬에이드</x:v>
      </x:c>
      <x:c r="F83" s="4" t="str">
        <x:v>음료</x:v>
      </x:c>
      <x:c r="G83" s="16" t="n">
        <x:v>2</x:v>
      </x:c>
      <x:c r="H83" s="16" t="n">
        <x:v>6000</x:v>
      </x:c>
      <x:c r="I83" s="16" t="n">
        <x:f>G83*H83</x:f>
        <x:v>12000</x:v>
      </x:c>
      <x:c r="J83" s="16" t="n">
        <x:v>0</x:v>
      </x:c>
      <x:c r="K83" s="16" t="n">
        <x:f>I83-J83</x:f>
        <x:v>12000</x:v>
      </x:c>
    </x:row>
    <x:row r="84" ht="23" customHeight="1">
      <x:c r="A84" s="11" t="str">
        <x:v>R039-L01</x:v>
      </x:c>
      <x:c r="B84" s="11" t="str">
        <x:v>R039</x:v>
      </x:c>
      <x:c r="C84" s="12" t="n">
        <x:v>1</x:v>
      </x:c>
      <x:c r="D84" s="11" t="str">
        <x:v>P011</x:v>
      </x:c>
      <x:c r="E84" s="11" t="str">
        <x:v>얼그레이티</x:v>
      </x:c>
      <x:c r="F84" s="11" t="str">
        <x:v>차</x:v>
      </x:c>
      <x:c r="G84" s="15" t="n">
        <x:v>2</x:v>
      </x:c>
      <x:c r="H84" s="15" t="n">
        <x:v>4500</x:v>
      </x:c>
      <x:c r="I84" s="15" t="n">
        <x:f>G84*H84</x:f>
        <x:v>9000</x:v>
      </x:c>
      <x:c r="J84" s="15" t="n">
        <x:v>0</x:v>
      </x:c>
      <x:c r="K84" s="15" t="n">
        <x:f>I84-J84</x:f>
        <x:v>9000</x:v>
      </x:c>
    </x:row>
    <x:row r="85" ht="23" customHeight="1">
      <x:c r="A85" s="4" t="str">
        <x:v>R039-L02</x:v>
      </x:c>
      <x:c r="B85" s="4" t="str">
        <x:v>R039</x:v>
      </x:c>
      <x:c r="C85" s="5" t="n">
        <x:v>2</x:v>
      </x:c>
      <x:c r="D85" s="4" t="str">
        <x:v>P003</x:v>
      </x:c>
      <x:c r="E85" s="4" t="str">
        <x:v>카페라떼</x:v>
      </x:c>
      <x:c r="F85" s="4" t="str">
        <x:v>커피</x:v>
      </x:c>
      <x:c r="G85" s="16" t="n">
        <x:v>2</x:v>
      </x:c>
      <x:c r="H85" s="16" t="n">
        <x:v>5000</x:v>
      </x:c>
      <x:c r="I85" s="16" t="n">
        <x:f>G85*H85</x:f>
        <x:v>10000</x:v>
      </x:c>
      <x:c r="J85" s="16" t="n">
        <x:v>0</x:v>
      </x:c>
      <x:c r="K85" s="16" t="n">
        <x:f>I85-J85</x:f>
        <x:v>10000</x:v>
      </x:c>
    </x:row>
    <x:row r="86" ht="23" customHeight="1">
      <x:c r="A86" s="11" t="str">
        <x:v>R039-L03</x:v>
      </x:c>
      <x:c r="B86" s="11" t="str">
        <x:v>R039</x:v>
      </x:c>
      <x:c r="C86" s="12" t="n">
        <x:v>3</x:v>
      </x:c>
      <x:c r="D86" s="11" t="str">
        <x:v>P015</x:v>
      </x:c>
      <x:c r="E86" s="11" t="str">
        <x:v>블루베리머핀</x:v>
      </x:c>
      <x:c r="F86" s="11" t="str">
        <x:v>베이커리</x:v>
      </x:c>
      <x:c r="G86" s="15" t="n">
        <x:v>2</x:v>
      </x:c>
      <x:c r="H86" s="15" t="n">
        <x:v>4200</x:v>
      </x:c>
      <x:c r="I86" s="15" t="n">
        <x:f>G86*H86</x:f>
        <x:v>8400</x:v>
      </x:c>
      <x:c r="J86" s="15" t="n">
        <x:v>0</x:v>
      </x:c>
      <x:c r="K86" s="15" t="n">
        <x:f>I86-J86</x:f>
        <x:v>8400</x:v>
      </x:c>
    </x:row>
    <x:row r="87" ht="23" customHeight="1">
      <x:c r="A87" s="4" t="str">
        <x:v>R040-L01</x:v>
      </x:c>
      <x:c r="B87" s="4" t="str">
        <x:v>R040</x:v>
      </x:c>
      <x:c r="C87" s="5" t="n">
        <x:v>1</x:v>
      </x:c>
      <x:c r="D87" s="4" t="str">
        <x:v>P003</x:v>
      </x:c>
      <x:c r="E87" s="4" t="str">
        <x:v>카페라떼</x:v>
      </x:c>
      <x:c r="F87" s="4" t="str">
        <x:v>커피</x:v>
      </x:c>
      <x:c r="G87" s="16" t="n">
        <x:v>1</x:v>
      </x:c>
      <x:c r="H87" s="16" t="n">
        <x:v>5000</x:v>
      </x:c>
      <x:c r="I87" s="16" t="n">
        <x:f>G87*H87</x:f>
        <x:v>5000</x:v>
      </x:c>
      <x:c r="J87" s="16" t="n">
        <x:v>0</x:v>
      </x:c>
      <x:c r="K87" s="16" t="n">
        <x:f>I87-J87</x:f>
        <x:v>5000</x:v>
      </x:c>
    </x:row>
    <x:row r="88" ht="23" customHeight="1">
      <x:c r="A88" s="11" t="str">
        <x:v>R041-L01</x:v>
      </x:c>
      <x:c r="B88" s="11" t="str">
        <x:v>R041</x:v>
      </x:c>
      <x:c r="C88" s="12" t="n">
        <x:v>1</x:v>
      </x:c>
      <x:c r="D88" s="11" t="str">
        <x:v>P006</x:v>
      </x:c>
      <x:c r="E88" s="11" t="str">
        <x:v>콜드브루</x:v>
      </x:c>
      <x:c r="F88" s="11" t="str">
        <x:v>커피</x:v>
      </x:c>
      <x:c r="G88" s="15" t="n">
        <x:v>1</x:v>
      </x:c>
      <x:c r="H88" s="15" t="n">
        <x:v>5500</x:v>
      </x:c>
      <x:c r="I88" s="15" t="n">
        <x:f>G88*H88</x:f>
        <x:v>5500</x:v>
      </x:c>
      <x:c r="J88" s="15" t="n">
        <x:v>0</x:v>
      </x:c>
      <x:c r="K88" s="15" t="n">
        <x:f>I88-J88</x:f>
        <x:v>5500</x:v>
      </x:c>
    </x:row>
    <x:row r="89" ht="23" customHeight="1">
      <x:c r="A89" s="4" t="str">
        <x:v>R042-L01</x:v>
      </x:c>
      <x:c r="B89" s="4" t="str">
        <x:v>R042</x:v>
      </x:c>
      <x:c r="C89" s="5" t="n">
        <x:v>1</x:v>
      </x:c>
      <x:c r="D89" s="4" t="str">
        <x:v>P001</x:v>
      </x:c>
      <x:c r="E89" s="4" t="str">
        <x:v>아이스 아메리카노</x:v>
      </x:c>
      <x:c r="F89" s="4" t="str">
        <x:v>커피</x:v>
      </x:c>
      <x:c r="G89" s="16" t="n">
        <x:v>1</x:v>
      </x:c>
      <x:c r="H89" s="16" t="n">
        <x:v>4500</x:v>
      </x:c>
      <x:c r="I89" s="16" t="n">
        <x:f>G89*H89</x:f>
        <x:v>4500</x:v>
      </x:c>
      <x:c r="J89" s="16" t="n">
        <x:v>0</x:v>
      </x:c>
      <x:c r="K89" s="16" t="n">
        <x:f>I89-J89</x:f>
        <x:v>4500</x:v>
      </x:c>
    </x:row>
    <x:row r="90" ht="23" customHeight="1">
      <x:c r="A90" s="11" t="str">
        <x:v>R042-L02</x:v>
      </x:c>
      <x:c r="B90" s="11" t="str">
        <x:v>R042</x:v>
      </x:c>
      <x:c r="C90" s="12" t="n">
        <x:v>2</x:v>
      </x:c>
      <x:c r="D90" s="11" t="str">
        <x:v>P016</x:v>
      </x:c>
      <x:c r="E90" s="11" t="str">
        <x:v>치즈케이크</x:v>
      </x:c>
      <x:c r="F90" s="11" t="str">
        <x:v>디저트</x:v>
      </x:c>
      <x:c r="G90" s="15" t="n">
        <x:v>1</x:v>
      </x:c>
      <x:c r="H90" s="15" t="n">
        <x:v>6500</x:v>
      </x:c>
      <x:c r="I90" s="15" t="n">
        <x:f>G90*H90</x:f>
        <x:v>6500</x:v>
      </x:c>
      <x:c r="J90" s="15" t="n">
        <x:v>0</x:v>
      </x:c>
      <x:c r="K90" s="15" t="n">
        <x:f>I90-J90</x:f>
        <x:v>6500</x:v>
      </x:c>
    </x:row>
    <x:row r="91" ht="23" customHeight="1">
      <x:c r="A91" s="4" t="str">
        <x:v>R042-L03</x:v>
      </x:c>
      <x:c r="B91" s="4" t="str">
        <x:v>R042</x:v>
      </x:c>
      <x:c r="C91" s="5" t="n">
        <x:v>3</x:v>
      </x:c>
      <x:c r="D91" s="4" t="str">
        <x:v>P017</x:v>
      </x:c>
      <x:c r="E91" s="4" t="str">
        <x:v>초콜릿브라우니</x:v>
      </x:c>
      <x:c r="F91" s="4" t="str">
        <x:v>디저트</x:v>
      </x:c>
      <x:c r="G91" s="16" t="n">
        <x:v>1</x:v>
      </x:c>
      <x:c r="H91" s="16" t="n">
        <x:v>4800</x:v>
      </x:c>
      <x:c r="I91" s="16" t="n">
        <x:f>G91*H91</x:f>
        <x:v>4800</x:v>
      </x:c>
      <x:c r="J91" s="16" t="n">
        <x:v>0</x:v>
      </x:c>
      <x:c r="K91" s="16" t="n">
        <x:f>I91-J91</x:f>
        <x:v>4800</x:v>
      </x:c>
    </x:row>
    <x:row r="92" ht="23" customHeight="1">
      <x:c r="A92" s="11" t="str">
        <x:v>R043-L01</x:v>
      </x:c>
      <x:c r="B92" s="11" t="str">
        <x:v>R043</x:v>
      </x:c>
      <x:c r="C92" s="12" t="n">
        <x:v>1</x:v>
      </x:c>
      <x:c r="D92" s="11" t="str">
        <x:v>P001</x:v>
      </x:c>
      <x:c r="E92" s="11" t="str">
        <x:v>아이스 아메리카노</x:v>
      </x:c>
      <x:c r="F92" s="11" t="str">
        <x:v>커피</x:v>
      </x:c>
      <x:c r="G92" s="15" t="n">
        <x:v>1</x:v>
      </x:c>
      <x:c r="H92" s="15" t="n">
        <x:v>4500</x:v>
      </x:c>
      <x:c r="I92" s="15" t="n">
        <x:f>G92*H92</x:f>
        <x:v>4500</x:v>
      </x:c>
      <x:c r="J92" s="15" t="n">
        <x:v>0</x:v>
      </x:c>
      <x:c r="K92" s="15" t="n">
        <x:f>I92-J92</x:f>
        <x:v>4500</x:v>
      </x:c>
    </x:row>
    <x:row r="93" ht="23" customHeight="1">
      <x:c r="A93" s="4" t="str">
        <x:v>R043-L02</x:v>
      </x:c>
      <x:c r="B93" s="4" t="str">
        <x:v>R043</x:v>
      </x:c>
      <x:c r="C93" s="5" t="n">
        <x:v>2</x:v>
      </x:c>
      <x:c r="D93" s="4" t="str">
        <x:v>P013</x:v>
      </x:c>
      <x:c r="E93" s="4" t="str">
        <x:v>크루아상</x:v>
      </x:c>
      <x:c r="F93" s="4" t="str">
        <x:v>베이커리</x:v>
      </x:c>
      <x:c r="G93" s="16" t="n">
        <x:v>1</x:v>
      </x:c>
      <x:c r="H93" s="16" t="n">
        <x:v>4000</x:v>
      </x:c>
      <x:c r="I93" s="16" t="n">
        <x:f>G93*H93</x:f>
        <x:v>4000</x:v>
      </x:c>
      <x:c r="J93" s="16" t="n">
        <x:v>0</x:v>
      </x:c>
      <x:c r="K93" s="16" t="n">
        <x:f>I93-J93</x:f>
        <x:v>4000</x:v>
      </x:c>
    </x:row>
    <x:row r="94" ht="23" customHeight="1">
      <x:c r="A94" s="11" t="str">
        <x:v>R043-L03</x:v>
      </x:c>
      <x:c r="B94" s="11" t="str">
        <x:v>R043</x:v>
      </x:c>
      <x:c r="C94" s="12" t="n">
        <x:v>3</x:v>
      </x:c>
      <x:c r="D94" s="11" t="str">
        <x:v>P018</x:v>
      </x:c>
      <x:c r="E94" s="11" t="str">
        <x:v>마카롱</x:v>
      </x:c>
      <x:c r="F94" s="11" t="str">
        <x:v>디저트</x:v>
      </x:c>
      <x:c r="G94" s="15" t="n">
        <x:v>1</x:v>
      </x:c>
      <x:c r="H94" s="15" t="n">
        <x:v>2800</x:v>
      </x:c>
      <x:c r="I94" s="15" t="n">
        <x:f>G94*H94</x:f>
        <x:v>2800</x:v>
      </x:c>
      <x:c r="J94" s="15" t="n">
        <x:v>1000</x:v>
      </x:c>
      <x:c r="K94" s="15" t="n">
        <x:f>I94-J94</x:f>
        <x:v>1800</x:v>
      </x:c>
    </x:row>
    <x:row r="95" ht="23" customHeight="1">
      <x:c r="A95" s="4" t="str">
        <x:v>R043-L04</x:v>
      </x:c>
      <x:c r="B95" s="4" t="str">
        <x:v>R043</x:v>
      </x:c>
      <x:c r="C95" s="5" t="n">
        <x:v>4</x:v>
      </x:c>
      <x:c r="D95" s="4" t="str">
        <x:v>P014</x:v>
      </x:c>
      <x:c r="E95" s="4" t="str">
        <x:v>소금빵</x:v>
      </x:c>
      <x:c r="F95" s="4" t="str">
        <x:v>베이커리</x:v>
      </x:c>
      <x:c r="G95" s="16" t="n">
        <x:v>1</x:v>
      </x:c>
      <x:c r="H95" s="16" t="n">
        <x:v>3500</x:v>
      </x:c>
      <x:c r="I95" s="16" t="n">
        <x:f>G95*H95</x:f>
        <x:v>3500</x:v>
      </x:c>
      <x:c r="J95" s="16" t="n">
        <x:v>0</x:v>
      </x:c>
      <x:c r="K95" s="16" t="n">
        <x:f>I95-J95</x:f>
        <x:v>3500</x:v>
      </x:c>
    </x:row>
    <x:row r="96" ht="23" customHeight="1">
      <x:c r="A96" s="11" t="str">
        <x:v>R044-L01</x:v>
      </x:c>
      <x:c r="B96" s="11" t="str">
        <x:v>R044</x:v>
      </x:c>
      <x:c r="C96" s="12" t="n">
        <x:v>1</x:v>
      </x:c>
      <x:c r="D96" s="11" t="str">
        <x:v>P011</x:v>
      </x:c>
      <x:c r="E96" s="11" t="str">
        <x:v>얼그레이티</x:v>
      </x:c>
      <x:c r="F96" s="11" t="str">
        <x:v>차</x:v>
      </x:c>
      <x:c r="G96" s="15" t="n">
        <x:v>1</x:v>
      </x:c>
      <x:c r="H96" s="15" t="n">
        <x:v>4500</x:v>
      </x:c>
      <x:c r="I96" s="15" t="n">
        <x:f>G96*H96</x:f>
        <x:v>4500</x:v>
      </x:c>
      <x:c r="J96" s="15" t="n">
        <x:v>1000</x:v>
      </x:c>
      <x:c r="K96" s="15" t="n">
        <x:f>I96-J96</x:f>
        <x:v>3500</x:v>
      </x:c>
    </x:row>
    <x:row r="97" ht="23" customHeight="1">
      <x:c r="A97" s="4" t="str">
        <x:v>R044-L02</x:v>
      </x:c>
      <x:c r="B97" s="4" t="str">
        <x:v>R044</x:v>
      </x:c>
      <x:c r="C97" s="5" t="n">
        <x:v>2</x:v>
      </x:c>
      <x:c r="D97" s="4" t="str">
        <x:v>P014</x:v>
      </x:c>
      <x:c r="E97" s="4" t="str">
        <x:v>소금빵</x:v>
      </x:c>
      <x:c r="F97" s="4" t="str">
        <x:v>베이커리</x:v>
      </x:c>
      <x:c r="G97" s="16" t="n">
        <x:v>1</x:v>
      </x:c>
      <x:c r="H97" s="16" t="n">
        <x:v>3500</x:v>
      </x:c>
      <x:c r="I97" s="16" t="n">
        <x:f>G97*H97</x:f>
        <x:v>3500</x:v>
      </x:c>
      <x:c r="J97" s="16" t="n">
        <x:v>0</x:v>
      </x:c>
      <x:c r="K97" s="16" t="n">
        <x:f>I97-J97</x:f>
        <x:v>3500</x:v>
      </x:c>
    </x:row>
    <x:row r="98" ht="23" customHeight="1">
      <x:c r="A98" s="11" t="str">
        <x:v>R045-L01</x:v>
      </x:c>
      <x:c r="B98" s="11" t="str">
        <x:v>R045</x:v>
      </x:c>
      <x:c r="C98" s="12" t="n">
        <x:v>1</x:v>
      </x:c>
      <x:c r="D98" s="11" t="str">
        <x:v>P001</x:v>
      </x:c>
      <x:c r="E98" s="11" t="str">
        <x:v>아이스 아메리카노</x:v>
      </x:c>
      <x:c r="F98" s="11" t="str">
        <x:v>커피</x:v>
      </x:c>
      <x:c r="G98" s="15" t="n">
        <x:v>2</x:v>
      </x:c>
      <x:c r="H98" s="15" t="n">
        <x:v>4500</x:v>
      </x:c>
      <x:c r="I98" s="15" t="n">
        <x:f>G98*H98</x:f>
        <x:v>9000</x:v>
      </x:c>
      <x:c r="J98" s="15" t="n">
        <x:v>0</x:v>
      </x:c>
      <x:c r="K98" s="15" t="n">
        <x:f>I98-J98</x:f>
        <x:v>9000</x:v>
      </x:c>
    </x:row>
    <x:row r="99" ht="23" customHeight="1">
      <x:c r="A99" s="4" t="str">
        <x:v>R045-L02</x:v>
      </x:c>
      <x:c r="B99" s="4" t="str">
        <x:v>R045</x:v>
      </x:c>
      <x:c r="C99" s="5" t="n">
        <x:v>2</x:v>
      </x:c>
      <x:c r="D99" s="4" t="str">
        <x:v>P003</x:v>
      </x:c>
      <x:c r="E99" s="4" t="str">
        <x:v>카페라떼</x:v>
      </x:c>
      <x:c r="F99" s="4" t="str">
        <x:v>커피</x:v>
      </x:c>
      <x:c r="G99" s="16" t="n">
        <x:v>1</x:v>
      </x:c>
      <x:c r="H99" s="16" t="n">
        <x:v>5000</x:v>
      </x:c>
      <x:c r="I99" s="16" t="n">
        <x:f>G99*H99</x:f>
        <x:v>5000</x:v>
      </x:c>
      <x:c r="J99" s="16" t="n">
        <x:v>1000</x:v>
      </x:c>
      <x:c r="K99" s="16" t="n">
        <x:f>I99-J99</x:f>
        <x:v>4000</x:v>
      </x:c>
    </x:row>
    <x:row r="100" ht="23" customHeight="1">
      <x:c r="A100" s="11" t="str">
        <x:v>R046-L01</x:v>
      </x:c>
      <x:c r="B100" s="11" t="str">
        <x:v>R046</x:v>
      </x:c>
      <x:c r="C100" s="12" t="n">
        <x:v>1</x:v>
      </x:c>
      <x:c r="D100" s="11" t="str">
        <x:v>P001</x:v>
      </x:c>
      <x:c r="E100" s="11" t="str">
        <x:v>아이스 아메리카노</x:v>
      </x:c>
      <x:c r="F100" s="11" t="str">
        <x:v>커피</x:v>
      </x:c>
      <x:c r="G100" s="15" t="n">
        <x:v>2</x:v>
      </x:c>
      <x:c r="H100" s="15" t="n">
        <x:v>4500</x:v>
      </x:c>
      <x:c r="I100" s="15" t="n">
        <x:f>G100*H100</x:f>
        <x:v>9000</x:v>
      </x:c>
      <x:c r="J100" s="15" t="n">
        <x:v>0</x:v>
      </x:c>
      <x:c r="K100" s="15" t="n">
        <x:f>I100-J100</x:f>
        <x:v>9000</x:v>
      </x:c>
    </x:row>
    <x:row r="101" ht="23" customHeight="1">
      <x:c r="A101" s="4" t="str">
        <x:v>R046-L02</x:v>
      </x:c>
      <x:c r="B101" s="4" t="str">
        <x:v>R046</x:v>
      </x:c>
      <x:c r="C101" s="5" t="n">
        <x:v>2</x:v>
      </x:c>
      <x:c r="D101" s="4" t="str">
        <x:v>P019</x:v>
      </x:c>
      <x:c r="E101" s="4" t="str">
        <x:v>햄치즈샌드위치</x:v>
      </x:c>
      <x:c r="F101" s="4" t="str">
        <x:v>식사</x:v>
      </x:c>
      <x:c r="G101" s="16" t="n">
        <x:v>1</x:v>
      </x:c>
      <x:c r="H101" s="16" t="n">
        <x:v>7500</x:v>
      </x:c>
      <x:c r="I101" s="16" t="n">
        <x:f>G101*H101</x:f>
        <x:v>7500</x:v>
      </x:c>
      <x:c r="J101" s="16" t="n">
        <x:v>0</x:v>
      </x:c>
      <x:c r="K101" s="16" t="n">
        <x:f>I101-J101</x:f>
        <x:v>7500</x:v>
      </x:c>
    </x:row>
    <x:row r="102" ht="23" customHeight="1">
      <x:c r="A102" s="11" t="str">
        <x:v>R047-L01</x:v>
      </x:c>
      <x:c r="B102" s="11" t="str">
        <x:v>R047</x:v>
      </x:c>
      <x:c r="C102" s="12" t="n">
        <x:v>1</x:v>
      </x:c>
      <x:c r="D102" s="11" t="str">
        <x:v>P004</x:v>
      </x:c>
      <x:c r="E102" s="11" t="str">
        <x:v>바닐라라떼</x:v>
      </x:c>
      <x:c r="F102" s="11" t="str">
        <x:v>커피</x:v>
      </x:c>
      <x:c r="G102" s="15" t="n">
        <x:v>1</x:v>
      </x:c>
      <x:c r="H102" s="15" t="n">
        <x:v>5500</x:v>
      </x:c>
      <x:c r="I102" s="15" t="n">
        <x:f>G102*H102</x:f>
        <x:v>5500</x:v>
      </x:c>
      <x:c r="J102" s="15" t="n">
        <x:v>0</x:v>
      </x:c>
      <x:c r="K102" s="15" t="n">
        <x:f>I102-J102</x:f>
        <x:v>5500</x:v>
      </x:c>
    </x:row>
    <x:row r="103" ht="23" customHeight="1">
      <x:c r="A103" s="4" t="str">
        <x:v>R047-L02</x:v>
      </x:c>
      <x:c r="B103" s="4" t="str">
        <x:v>R047</x:v>
      </x:c>
      <x:c r="C103" s="5" t="n">
        <x:v>2</x:v>
      </x:c>
      <x:c r="D103" s="4" t="str">
        <x:v>P016</x:v>
      </x:c>
      <x:c r="E103" s="4" t="str">
        <x:v>치즈케이크</x:v>
      </x:c>
      <x:c r="F103" s="4" t="str">
        <x:v>디저트</x:v>
      </x:c>
      <x:c r="G103" s="16" t="n">
        <x:v>1</x:v>
      </x:c>
      <x:c r="H103" s="16" t="n">
        <x:v>6500</x:v>
      </x:c>
      <x:c r="I103" s="16" t="n">
        <x:f>G103*H103</x:f>
        <x:v>6500</x:v>
      </x:c>
      <x:c r="J103" s="16" t="n">
        <x:v>0</x:v>
      </x:c>
      <x:c r="K103" s="16" t="n">
        <x:f>I103-J103</x:f>
        <x:v>6500</x:v>
      </x:c>
    </x:row>
    <x:row r="104" ht="23" customHeight="1">
      <x:c r="A104" s="11" t="str">
        <x:v>R048-L01</x:v>
      </x:c>
      <x:c r="B104" s="11" t="str">
        <x:v>R048</x:v>
      </x:c>
      <x:c r="C104" s="12" t="n">
        <x:v>1</x:v>
      </x:c>
      <x:c r="D104" s="11" t="str">
        <x:v>P011</x:v>
      </x:c>
      <x:c r="E104" s="11" t="str">
        <x:v>얼그레이티</x:v>
      </x:c>
      <x:c r="F104" s="11" t="str">
        <x:v>차</x:v>
      </x:c>
      <x:c r="G104" s="15" t="n">
        <x:v>1</x:v>
      </x:c>
      <x:c r="H104" s="15" t="n">
        <x:v>4500</x:v>
      </x:c>
      <x:c r="I104" s="15" t="n">
        <x:f>G104*H104</x:f>
        <x:v>4500</x:v>
      </x:c>
      <x:c r="J104" s="15" t="n">
        <x:v>0</x:v>
      </x:c>
      <x:c r="K104" s="15" t="n">
        <x:f>I104-J104</x:f>
        <x:v>4500</x:v>
      </x:c>
    </x:row>
    <x:row r="105" ht="23" customHeight="1">
      <x:c r="A105" s="4" t="str">
        <x:v>R049-L01</x:v>
      </x:c>
      <x:c r="B105" s="4" t="str">
        <x:v>R049</x:v>
      </x:c>
      <x:c r="C105" s="5" t="n">
        <x:v>1</x:v>
      </x:c>
      <x:c r="D105" s="4" t="str">
        <x:v>P011</x:v>
      </x:c>
      <x:c r="E105" s="4" t="str">
        <x:v>얼그레이티</x:v>
      </x:c>
      <x:c r="F105" s="4" t="str">
        <x:v>차</x:v>
      </x:c>
      <x:c r="G105" s="16" t="n">
        <x:v>2</x:v>
      </x:c>
      <x:c r="H105" s="16" t="n">
        <x:v>4500</x:v>
      </x:c>
      <x:c r="I105" s="16" t="n">
        <x:f>G105*H105</x:f>
        <x:v>9000</x:v>
      </x:c>
      <x:c r="J105" s="16" t="n">
        <x:v>300</x:v>
      </x:c>
      <x:c r="K105" s="16" t="n">
        <x:f>I105-J105</x:f>
        <x:v>8700</x:v>
      </x:c>
    </x:row>
    <x:row r="106" ht="23" customHeight="1">
      <x:c r="A106" s="11" t="str">
        <x:v>R049-L02</x:v>
      </x:c>
      <x:c r="B106" s="11" t="str">
        <x:v>R049</x:v>
      </x:c>
      <x:c r="C106" s="12" t="n">
        <x:v>2</x:v>
      </x:c>
      <x:c r="D106" s="11" t="str">
        <x:v>P019</x:v>
      </x:c>
      <x:c r="E106" s="11" t="str">
        <x:v>햄치즈샌드위치</x:v>
      </x:c>
      <x:c r="F106" s="11" t="str">
        <x:v>식사</x:v>
      </x:c>
      <x:c r="G106" s="15" t="n">
        <x:v>1</x:v>
      </x:c>
      <x:c r="H106" s="15" t="n">
        <x:v>7500</x:v>
      </x:c>
      <x:c r="I106" s="15" t="n">
        <x:f>G106*H106</x:f>
        <x:v>7500</x:v>
      </x:c>
      <x:c r="J106" s="15" t="n">
        <x:v>0</x:v>
      </x:c>
      <x:c r="K106" s="15" t="n">
        <x:f>I106-J106</x:f>
        <x:v>7500</x:v>
      </x:c>
    </x:row>
    <x:row r="107" ht="23" customHeight="1">
      <x:c r="A107" s="4" t="str">
        <x:v>R050-L01</x:v>
      </x:c>
      <x:c r="B107" s="4" t="str">
        <x:v>R050</x:v>
      </x:c>
      <x:c r="C107" s="5" t="n">
        <x:v>1</x:v>
      </x:c>
      <x:c r="D107" s="4" t="str">
        <x:v>P004</x:v>
      </x:c>
      <x:c r="E107" s="4" t="str">
        <x:v>바닐라라떼</x:v>
      </x:c>
      <x:c r="F107" s="4" t="str">
        <x:v>커피</x:v>
      </x:c>
      <x:c r="G107" s="16" t="n">
        <x:v>1</x:v>
      </x:c>
      <x:c r="H107" s="16" t="n">
        <x:v>5500</x:v>
      </x:c>
      <x:c r="I107" s="16" t="n">
        <x:f>G107*H107</x:f>
        <x:v>5500</x:v>
      </x:c>
      <x:c r="J107" s="16" t="n">
        <x:v>0</x:v>
      </x:c>
      <x:c r="K107" s="16" t="n">
        <x:f>I107-J107</x:f>
        <x:v>5500</x:v>
      </x:c>
    </x:row>
    <x:row r="108" ht="23" customHeight="1">
      <x:c r="A108" s="11" t="str">
        <x:v>R050-L02</x:v>
      </x:c>
      <x:c r="B108" s="11" t="str">
        <x:v>R050</x:v>
      </x:c>
      <x:c r="C108" s="12" t="n">
        <x:v>2</x:v>
      </x:c>
      <x:c r="D108" s="11" t="str">
        <x:v>P001</x:v>
      </x:c>
      <x:c r="E108" s="11" t="str">
        <x:v>아이스 아메리카노</x:v>
      </x:c>
      <x:c r="F108" s="11" t="str">
        <x:v>커피</x:v>
      </x:c>
      <x:c r="G108" s="15" t="n">
        <x:v>1</x:v>
      </x:c>
      <x:c r="H108" s="15" t="n">
        <x:v>4500</x:v>
      </x:c>
      <x:c r="I108" s="15" t="n">
        <x:f>G108*H108</x:f>
        <x:v>4500</x:v>
      </x:c>
      <x:c r="J108" s="15" t="n">
        <x:v>0</x:v>
      </x:c>
      <x:c r="K108" s="15" t="n">
        <x:f>I108-J108</x:f>
        <x:v>4500</x:v>
      </x:c>
    </x:row>
    <x:row r="109" ht="23" customHeight="1">
      <x:c r="A109" s="4" t="str">
        <x:v>R051-L01</x:v>
      </x:c>
      <x:c r="B109" s="4" t="str">
        <x:v>R051</x:v>
      </x:c>
      <x:c r="C109" s="5" t="n">
        <x:v>1</x:v>
      </x:c>
      <x:c r="D109" s="4" t="str">
        <x:v>P009</x:v>
      </x:c>
      <x:c r="E109" s="4" t="str">
        <x:v>말차라떼</x:v>
      </x:c>
      <x:c r="F109" s="4" t="str">
        <x:v>음료</x:v>
      </x:c>
      <x:c r="G109" s="16" t="n">
        <x:v>2</x:v>
      </x:c>
      <x:c r="H109" s="16" t="n">
        <x:v>5800</x:v>
      </x:c>
      <x:c r="I109" s="16" t="n">
        <x:f>G109*H109</x:f>
        <x:v>11600</x:v>
      </x:c>
      <x:c r="J109" s="16" t="n">
        <x:v>0</x:v>
      </x:c>
      <x:c r="K109" s="16" t="n">
        <x:f>I109-J109</x:f>
        <x:v>11600</x:v>
      </x:c>
    </x:row>
    <x:row r="110" ht="23" customHeight="1">
      <x:c r="A110" s="11" t="str">
        <x:v>R051-L02</x:v>
      </x:c>
      <x:c r="B110" s="11" t="str">
        <x:v>R051</x:v>
      </x:c>
      <x:c r="C110" s="12" t="n">
        <x:v>2</x:v>
      </x:c>
      <x:c r="D110" s="11" t="str">
        <x:v>P013</x:v>
      </x:c>
      <x:c r="E110" s="11" t="str">
        <x:v>크루아상</x:v>
      </x:c>
      <x:c r="F110" s="11" t="str">
        <x:v>베이커리</x:v>
      </x:c>
      <x:c r="G110" s="15" t="n">
        <x:v>1</x:v>
      </x:c>
      <x:c r="H110" s="15" t="n">
        <x:v>4000</x:v>
      </x:c>
      <x:c r="I110" s="15" t="n">
        <x:f>G110*H110</x:f>
        <x:v>4000</x:v>
      </x:c>
      <x:c r="J110" s="15" t="n">
        <x:v>0</x:v>
      </x:c>
      <x:c r="K110" s="15" t="n">
        <x:f>I110-J110</x:f>
        <x:v>4000</x:v>
      </x:c>
    </x:row>
    <x:row r="111" ht="23" customHeight="1">
      <x:c r="A111" s="4" t="str">
        <x:v>R052-L01</x:v>
      </x:c>
      <x:c r="B111" s="4" t="str">
        <x:v>R052</x:v>
      </x:c>
      <x:c r="C111" s="5" t="n">
        <x:v>1</x:v>
      </x:c>
      <x:c r="D111" s="4" t="str">
        <x:v>P003</x:v>
      </x:c>
      <x:c r="E111" s="4" t="str">
        <x:v>카페라떼</x:v>
      </x:c>
      <x:c r="F111" s="4" t="str">
        <x:v>커피</x:v>
      </x:c>
      <x:c r="G111" s="16" t="n">
        <x:v>1</x:v>
      </x:c>
      <x:c r="H111" s="16" t="n">
        <x:v>5000</x:v>
      </x:c>
      <x:c r="I111" s="16" t="n">
        <x:f>G111*H111</x:f>
        <x:v>5000</x:v>
      </x:c>
      <x:c r="J111" s="16" t="n">
        <x:v>0</x:v>
      </x:c>
      <x:c r="K111" s="16" t="n">
        <x:f>I111-J111</x:f>
        <x:v>5000</x:v>
      </x:c>
    </x:row>
    <x:row r="112" ht="23" customHeight="1">
      <x:c r="A112" s="11" t="str">
        <x:v>R052-L02</x:v>
      </x:c>
      <x:c r="B112" s="11" t="str">
        <x:v>R052</x:v>
      </x:c>
      <x:c r="C112" s="12" t="n">
        <x:v>2</x:v>
      </x:c>
      <x:c r="D112" s="11" t="str">
        <x:v>P007</x:v>
      </x:c>
      <x:c r="E112" s="11" t="str">
        <x:v>레몬에이드</x:v>
      </x:c>
      <x:c r="F112" s="11" t="str">
        <x:v>음료</x:v>
      </x:c>
      <x:c r="G112" s="15" t="n">
        <x:v>1</x:v>
      </x:c>
      <x:c r="H112" s="15" t="n">
        <x:v>6000</x:v>
      </x:c>
      <x:c r="I112" s="15" t="n">
        <x:f>G112*H112</x:f>
        <x:v>6000</x:v>
      </x:c>
      <x:c r="J112" s="15" t="n">
        <x:v>1000</x:v>
      </x:c>
      <x:c r="K112" s="15" t="n">
        <x:f>I112-J112</x:f>
        <x:v>5000</x:v>
      </x:c>
    </x:row>
    <x:row r="113" ht="23" customHeight="1">
      <x:c r="A113" s="4" t="str">
        <x:v>R053-L01</x:v>
      </x:c>
      <x:c r="B113" s="4" t="str">
        <x:v>R053</x:v>
      </x:c>
      <x:c r="C113" s="5" t="n">
        <x:v>1</x:v>
      </x:c>
      <x:c r="D113" s="4" t="str">
        <x:v>P004</x:v>
      </x:c>
      <x:c r="E113" s="4" t="str">
        <x:v>바닐라라떼</x:v>
      </x:c>
      <x:c r="F113" s="4" t="str">
        <x:v>커피</x:v>
      </x:c>
      <x:c r="G113" s="16" t="n">
        <x:v>1</x:v>
      </x:c>
      <x:c r="H113" s="16" t="n">
        <x:v>5500</x:v>
      </x:c>
      <x:c r="I113" s="16" t="n">
        <x:f>G113*H113</x:f>
        <x:v>5500</x:v>
      </x:c>
      <x:c r="J113" s="16" t="n">
        <x:v>300</x:v>
      </x:c>
      <x:c r="K113" s="16" t="n">
        <x:f>I113-J113</x:f>
        <x:v>5200</x:v>
      </x:c>
    </x:row>
    <x:row r="114" ht="23" customHeight="1">
      <x:c r="A114" s="11" t="str">
        <x:v>R053-L02</x:v>
      </x:c>
      <x:c r="B114" s="11" t="str">
        <x:v>R053</x:v>
      </x:c>
      <x:c r="C114" s="12" t="n">
        <x:v>2</x:v>
      </x:c>
      <x:c r="D114" s="11" t="str">
        <x:v>P020</x:v>
      </x:c>
      <x:c r="E114" s="11" t="str">
        <x:v>치킨샌드위치</x:v>
      </x:c>
      <x:c r="F114" s="11" t="str">
        <x:v>식사</x:v>
      </x:c>
      <x:c r="G114" s="15" t="n">
        <x:v>1</x:v>
      </x:c>
      <x:c r="H114" s="15" t="n">
        <x:v>8000</x:v>
      </x:c>
      <x:c r="I114" s="15" t="n">
        <x:f>G114*H114</x:f>
        <x:v>8000</x:v>
      </x:c>
      <x:c r="J114" s="15" t="n">
        <x:v>0</x:v>
      </x:c>
      <x:c r="K114" s="15" t="n">
        <x:f>I114-J114</x:f>
        <x:v>8000</x:v>
      </x:c>
    </x:row>
    <x:row r="115" ht="23" customHeight="1">
      <x:c r="A115" s="4" t="str">
        <x:v>R053-L03</x:v>
      </x:c>
      <x:c r="B115" s="4" t="str">
        <x:v>R053</x:v>
      </x:c>
      <x:c r="C115" s="5" t="n">
        <x:v>3</x:v>
      </x:c>
      <x:c r="D115" s="4" t="str">
        <x:v>P013</x:v>
      </x:c>
      <x:c r="E115" s="4" t="str">
        <x:v>크루아상</x:v>
      </x:c>
      <x:c r="F115" s="4" t="str">
        <x:v>베이커리</x:v>
      </x:c>
      <x:c r="G115" s="16" t="n">
        <x:v>2</x:v>
      </x:c>
      <x:c r="H115" s="16" t="n">
        <x:v>4000</x:v>
      </x:c>
      <x:c r="I115" s="16" t="n">
        <x:f>G115*H115</x:f>
        <x:v>8000</x:v>
      </x:c>
      <x:c r="J115" s="16" t="n">
        <x:v>0</x:v>
      </x:c>
      <x:c r="K115" s="16" t="n">
        <x:f>I115-J115</x:f>
        <x:v>8000</x:v>
      </x:c>
    </x:row>
    <x:row r="116" ht="23" customHeight="1">
      <x:c r="A116" s="11" t="str">
        <x:v>R054-L01</x:v>
      </x:c>
      <x:c r="B116" s="11" t="str">
        <x:v>R054</x:v>
      </x:c>
      <x:c r="C116" s="12" t="n">
        <x:v>1</x:v>
      </x:c>
      <x:c r="D116" s="11" t="str">
        <x:v>P011</x:v>
      </x:c>
      <x:c r="E116" s="11" t="str">
        <x:v>얼그레이티</x:v>
      </x:c>
      <x:c r="F116" s="11" t="str">
        <x:v>차</x:v>
      </x:c>
      <x:c r="G116" s="15" t="n">
        <x:v>2</x:v>
      </x:c>
      <x:c r="H116" s="15" t="n">
        <x:v>4500</x:v>
      </x:c>
      <x:c r="I116" s="15" t="n">
        <x:f>G116*H116</x:f>
        <x:v>9000</x:v>
      </x:c>
      <x:c r="J116" s="15" t="n">
        <x:v>0</x:v>
      </x:c>
      <x:c r="K116" s="15" t="n">
        <x:f>I116-J116</x:f>
        <x:v>9000</x:v>
      </x:c>
    </x:row>
    <x:row r="117" ht="23" customHeight="1">
      <x:c r="A117" s="4" t="str">
        <x:v>R054-L02</x:v>
      </x:c>
      <x:c r="B117" s="4" t="str">
        <x:v>R054</x:v>
      </x:c>
      <x:c r="C117" s="5" t="n">
        <x:v>2</x:v>
      </x:c>
      <x:c r="D117" s="4" t="str">
        <x:v>P016</x:v>
      </x:c>
      <x:c r="E117" s="4" t="str">
        <x:v>치즈케이크</x:v>
      </x:c>
      <x:c r="F117" s="4" t="str">
        <x:v>디저트</x:v>
      </x:c>
      <x:c r="G117" s="16" t="n">
        <x:v>1</x:v>
      </x:c>
      <x:c r="H117" s="16" t="n">
        <x:v>6500</x:v>
      </x:c>
      <x:c r="I117" s="16" t="n">
        <x:f>G117*H117</x:f>
        <x:v>6500</x:v>
      </x:c>
      <x:c r="J117" s="16" t="n">
        <x:v>0</x:v>
      </x:c>
      <x:c r="K117" s="16" t="n">
        <x:f>I117-J117</x:f>
        <x:v>6500</x:v>
      </x:c>
    </x:row>
    <x:row r="118" ht="23" customHeight="1">
      <x:c r="A118" s="11" t="str">
        <x:v>R054-L03</x:v>
      </x:c>
      <x:c r="B118" s="11" t="str">
        <x:v>R054</x:v>
      </x:c>
      <x:c r="C118" s="12" t="n">
        <x:v>3</x:v>
      </x:c>
      <x:c r="D118" s="11" t="str">
        <x:v>P010</x:v>
      </x:c>
      <x:c r="E118" s="11" t="str">
        <x:v>초콜릿라떼</x:v>
      </x:c>
      <x:c r="F118" s="11" t="str">
        <x:v>음료</x:v>
      </x:c>
      <x:c r="G118" s="15" t="n">
        <x:v>1</x:v>
      </x:c>
      <x:c r="H118" s="15" t="n">
        <x:v>5500</x:v>
      </x:c>
      <x:c r="I118" s="15" t="n">
        <x:f>G118*H118</x:f>
        <x:v>5500</x:v>
      </x:c>
      <x:c r="J118" s="15" t="n">
        <x:v>0</x:v>
      </x:c>
      <x:c r="K118" s="15" t="n">
        <x:f>I118-J118</x:f>
        <x:v>5500</x:v>
      </x:c>
    </x:row>
    <x:row r="119" ht="23" customHeight="1">
      <x:c r="A119" s="4" t="str">
        <x:v>R055-L01</x:v>
      </x:c>
      <x:c r="B119" s="4" t="str">
        <x:v>R055</x:v>
      </x:c>
      <x:c r="C119" s="5" t="n">
        <x:v>1</x:v>
      </x:c>
      <x:c r="D119" s="4" t="str">
        <x:v>P005</x:v>
      </x:c>
      <x:c r="E119" s="4" t="str">
        <x:v>카푸치노</x:v>
      </x:c>
      <x:c r="F119" s="4" t="str">
        <x:v>커피</x:v>
      </x:c>
      <x:c r="G119" s="16" t="n">
        <x:v>1</x:v>
      </x:c>
      <x:c r="H119" s="16" t="n">
        <x:v>5000</x:v>
      </x:c>
      <x:c r="I119" s="16" t="n">
        <x:f>G119*H119</x:f>
        <x:v>5000</x:v>
      </x:c>
      <x:c r="J119" s="16" t="n">
        <x:v>0</x:v>
      </x:c>
      <x:c r="K119" s="16" t="n">
        <x:f>I119-J119</x:f>
        <x:v>5000</x:v>
      </x:c>
    </x:row>
    <x:row r="120" ht="23" customHeight="1">
      <x:c r="A120" s="11" t="str">
        <x:v>R055-L02</x:v>
      </x:c>
      <x:c r="B120" s="11" t="str">
        <x:v>R055</x:v>
      </x:c>
      <x:c r="C120" s="12" t="n">
        <x:v>2</x:v>
      </x:c>
      <x:c r="D120" s="11" t="str">
        <x:v>P001</x:v>
      </x:c>
      <x:c r="E120" s="11" t="str">
        <x:v>아이스 아메리카노</x:v>
      </x:c>
      <x:c r="F120" s="11" t="str">
        <x:v>커피</x:v>
      </x:c>
      <x:c r="G120" s="15" t="n">
        <x:v>1</x:v>
      </x:c>
      <x:c r="H120" s="15" t="n">
        <x:v>4500</x:v>
      </x:c>
      <x:c r="I120" s="15" t="n">
        <x:f>G120*H120</x:f>
        <x:v>4500</x:v>
      </x:c>
      <x:c r="J120" s="15" t="n">
        <x:v>0</x:v>
      </x:c>
      <x:c r="K120" s="15" t="n">
        <x:f>I120-J120</x:f>
        <x:v>4500</x:v>
      </x:c>
    </x:row>
    <x:row r="121" ht="23" customHeight="1">
      <x:c r="A121" s="4" t="str">
        <x:v>R055-L03</x:v>
      </x:c>
      <x:c r="B121" s="4" t="str">
        <x:v>R055</x:v>
      </x:c>
      <x:c r="C121" s="5" t="n">
        <x:v>3</x:v>
      </x:c>
      <x:c r="D121" s="4" t="str">
        <x:v>P017</x:v>
      </x:c>
      <x:c r="E121" s="4" t="str">
        <x:v>초콜릿브라우니</x:v>
      </x:c>
      <x:c r="F121" s="4" t="str">
        <x:v>디저트</x:v>
      </x:c>
      <x:c r="G121" s="16" t="n">
        <x:v>1</x:v>
      </x:c>
      <x:c r="H121" s="16" t="n">
        <x:v>4800</x:v>
      </x:c>
      <x:c r="I121" s="16" t="n">
        <x:f>G121*H121</x:f>
        <x:v>4800</x:v>
      </x:c>
      <x:c r="J121" s="16" t="n">
        <x:v>0</x:v>
      </x:c>
      <x:c r="K121" s="16" t="n">
        <x:f>I121-J121</x:f>
        <x:v>4800</x:v>
      </x:c>
    </x:row>
    <x:row r="122" ht="23" customHeight="1">
      <x:c r="A122" s="11" t="str">
        <x:v>R056-L01</x:v>
      </x:c>
      <x:c r="B122" s="11" t="str">
        <x:v>R056</x:v>
      </x:c>
      <x:c r="C122" s="12" t="n">
        <x:v>1</x:v>
      </x:c>
      <x:c r="D122" s="11" t="str">
        <x:v>P001</x:v>
      </x:c>
      <x:c r="E122" s="11" t="str">
        <x:v>아이스 아메리카노</x:v>
      </x:c>
      <x:c r="F122" s="11" t="str">
        <x:v>커피</x:v>
      </x:c>
      <x:c r="G122" s="15" t="n">
        <x:v>1</x:v>
      </x:c>
      <x:c r="H122" s="15" t="n">
        <x:v>4500</x:v>
      </x:c>
      <x:c r="I122" s="15" t="n">
        <x:f>G122*H122</x:f>
        <x:v>4500</x:v>
      </x:c>
      <x:c r="J122" s="15" t="n">
        <x:v>0</x:v>
      </x:c>
      <x:c r="K122" s="15" t="n">
        <x:f>I122-J122</x:f>
        <x:v>4500</x:v>
      </x:c>
    </x:row>
    <x:row r="123" ht="23" customHeight="1">
      <x:c r="A123" s="4" t="str">
        <x:v>R056-L02</x:v>
      </x:c>
      <x:c r="B123" s="4" t="str">
        <x:v>R056</x:v>
      </x:c>
      <x:c r="C123" s="5" t="n">
        <x:v>2</x:v>
      </x:c>
      <x:c r="D123" s="4" t="str">
        <x:v>P017</x:v>
      </x:c>
      <x:c r="E123" s="4" t="str">
        <x:v>초콜릿브라우니</x:v>
      </x:c>
      <x:c r="F123" s="4" t="str">
        <x:v>디저트</x:v>
      </x:c>
      <x:c r="G123" s="16" t="n">
        <x:v>1</x:v>
      </x:c>
      <x:c r="H123" s="16" t="n">
        <x:v>4800</x:v>
      </x:c>
      <x:c r="I123" s="16" t="n">
        <x:f>G123*H123</x:f>
        <x:v>4800</x:v>
      </x:c>
      <x:c r="J123" s="16" t="n">
        <x:v>1000</x:v>
      </x:c>
      <x:c r="K123" s="16" t="n">
        <x:f>I123-J123</x:f>
        <x:v>3800</x:v>
      </x:c>
    </x:row>
    <x:row r="124" ht="23" customHeight="1">
      <x:c r="A124" s="11" t="str">
        <x:v>R056-L03</x:v>
      </x:c>
      <x:c r="B124" s="11" t="str">
        <x:v>R056</x:v>
      </x:c>
      <x:c r="C124" s="12" t="n">
        <x:v>3</x:v>
      </x:c>
      <x:c r="D124" s="11" t="str">
        <x:v>P013</x:v>
      </x:c>
      <x:c r="E124" s="11" t="str">
        <x:v>크루아상</x:v>
      </x:c>
      <x:c r="F124" s="11" t="str">
        <x:v>베이커리</x:v>
      </x:c>
      <x:c r="G124" s="15" t="n">
        <x:v>1</x:v>
      </x:c>
      <x:c r="H124" s="15" t="n">
        <x:v>4000</x:v>
      </x:c>
      <x:c r="I124" s="15" t="n">
        <x:f>G124*H124</x:f>
        <x:v>4000</x:v>
      </x:c>
      <x:c r="J124" s="15" t="n">
        <x:v>0</x:v>
      </x:c>
      <x:c r="K124" s="15" t="n">
        <x:f>I124-J124</x:f>
        <x:v>4000</x:v>
      </x:c>
    </x:row>
    <x:row r="125" ht="23" customHeight="1">
      <x:c r="A125" s="4" t="str">
        <x:v>R057-L01</x:v>
      </x:c>
      <x:c r="B125" s="4" t="str">
        <x:v>R057</x:v>
      </x:c>
      <x:c r="C125" s="5" t="n">
        <x:v>1</x:v>
      </x:c>
      <x:c r="D125" s="4" t="str">
        <x:v>P004</x:v>
      </x:c>
      <x:c r="E125" s="4" t="str">
        <x:v>바닐라라떼</x:v>
      </x:c>
      <x:c r="F125" s="4" t="str">
        <x:v>커피</x:v>
      </x:c>
      <x:c r="G125" s="16" t="n">
        <x:v>1</x:v>
      </x:c>
      <x:c r="H125" s="16" t="n">
        <x:v>5500</x:v>
      </x:c>
      <x:c r="I125" s="16" t="n">
        <x:f>G125*H125</x:f>
        <x:v>5500</x:v>
      </x:c>
      <x:c r="J125" s="16" t="n">
        <x:v>0</x:v>
      </x:c>
      <x:c r="K125" s="16" t="n">
        <x:f>I125-J125</x:f>
        <x:v>5500</x:v>
      </x:c>
    </x:row>
    <x:row r="126" ht="23" customHeight="1">
      <x:c r="A126" s="11" t="str">
        <x:v>R058-L01</x:v>
      </x:c>
      <x:c r="B126" s="11" t="str">
        <x:v>R058</x:v>
      </x:c>
      <x:c r="C126" s="12" t="n">
        <x:v>1</x:v>
      </x:c>
      <x:c r="D126" s="11" t="str">
        <x:v>P007</x:v>
      </x:c>
      <x:c r="E126" s="11" t="str">
        <x:v>레몬에이드</x:v>
      </x:c>
      <x:c r="F126" s="11" t="str">
        <x:v>음료</x:v>
      </x:c>
      <x:c r="G126" s="15" t="n">
        <x:v>1</x:v>
      </x:c>
      <x:c r="H126" s="15" t="n">
        <x:v>6000</x:v>
      </x:c>
      <x:c r="I126" s="15" t="n">
        <x:f>G126*H126</x:f>
        <x:v>6000</x:v>
      </x:c>
      <x:c r="J126" s="15" t="n">
        <x:v>0</x:v>
      </x:c>
      <x:c r="K126" s="15" t="n">
        <x:f>I126-J126</x:f>
        <x:v>6000</x:v>
      </x:c>
    </x:row>
    <x:row r="127" ht="23" customHeight="1">
      <x:c r="A127" s="4" t="str">
        <x:v>R058-L02</x:v>
      </x:c>
      <x:c r="B127" s="4" t="str">
        <x:v>R058</x:v>
      </x:c>
      <x:c r="C127" s="5" t="n">
        <x:v>2</x:v>
      </x:c>
      <x:c r="D127" s="4" t="str">
        <x:v>P003</x:v>
      </x:c>
      <x:c r="E127" s="4" t="str">
        <x:v>카페라떼</x:v>
      </x:c>
      <x:c r="F127" s="4" t="str">
        <x:v>커피</x:v>
      </x:c>
      <x:c r="G127" s="16" t="n">
        <x:v>2</x:v>
      </x:c>
      <x:c r="H127" s="16" t="n">
        <x:v>5000</x:v>
      </x:c>
      <x:c r="I127" s="16" t="n">
        <x:f>G127*H127</x:f>
        <x:v>10000</x:v>
      </x:c>
      <x:c r="J127" s="16" t="n">
        <x:v>0</x:v>
      </x:c>
      <x:c r="K127" s="16" t="n">
        <x:f>I127-J127</x:f>
        <x:v>10000</x:v>
      </x:c>
    </x:row>
    <x:row r="128" ht="23" customHeight="1">
      <x:c r="A128" s="11" t="str">
        <x:v>R058-L03</x:v>
      </x:c>
      <x:c r="B128" s="11" t="str">
        <x:v>R058</x:v>
      </x:c>
      <x:c r="C128" s="12" t="n">
        <x:v>3</x:v>
      </x:c>
      <x:c r="D128" s="11" t="str">
        <x:v>P016</x:v>
      </x:c>
      <x:c r="E128" s="11" t="str">
        <x:v>치즈케이크</x:v>
      </x:c>
      <x:c r="F128" s="11" t="str">
        <x:v>디저트</x:v>
      </x:c>
      <x:c r="G128" s="15" t="n">
        <x:v>2</x:v>
      </x:c>
      <x:c r="H128" s="15" t="n">
        <x:v>6500</x:v>
      </x:c>
      <x:c r="I128" s="15" t="n">
        <x:f>G128*H128</x:f>
        <x:v>13000</x:v>
      </x:c>
      <x:c r="J128" s="15" t="n">
        <x:v>0</x:v>
      </x:c>
      <x:c r="K128" s="15" t="n">
        <x:f>I128-J128</x:f>
        <x:v>13000</x:v>
      </x:c>
    </x:row>
    <x:row r="129" ht="23" customHeight="1">
      <x:c r="A129" s="4" t="str">
        <x:v>R059-L01</x:v>
      </x:c>
      <x:c r="B129" s="4" t="str">
        <x:v>R059</x:v>
      </x:c>
      <x:c r="C129" s="5" t="n">
        <x:v>1</x:v>
      </x:c>
      <x:c r="D129" s="4" t="str">
        <x:v>P001</x:v>
      </x:c>
      <x:c r="E129" s="4" t="str">
        <x:v>아이스 아메리카노</x:v>
      </x:c>
      <x:c r="F129" s="4" t="str">
        <x:v>커피</x:v>
      </x:c>
      <x:c r="G129" s="16" t="n">
        <x:v>1</x:v>
      </x:c>
      <x:c r="H129" s="16" t="n">
        <x:v>4500</x:v>
      </x:c>
      <x:c r="I129" s="16" t="n">
        <x:f>G129*H129</x:f>
        <x:v>4500</x:v>
      </x:c>
      <x:c r="J129" s="16" t="n">
        <x:v>0</x:v>
      </x:c>
      <x:c r="K129" s="16" t="n">
        <x:f>I129-J129</x:f>
        <x:v>4500</x:v>
      </x:c>
    </x:row>
    <x:row r="130" ht="23" customHeight="1">
      <x:c r="A130" s="11" t="str">
        <x:v>R059-L02</x:v>
      </x:c>
      <x:c r="B130" s="11" t="str">
        <x:v>R059</x:v>
      </x:c>
      <x:c r="C130" s="12" t="n">
        <x:v>2</x:v>
      </x:c>
      <x:c r="D130" s="11" t="str">
        <x:v>P014</x:v>
      </x:c>
      <x:c r="E130" s="11" t="str">
        <x:v>소금빵</x:v>
      </x:c>
      <x:c r="F130" s="11" t="str">
        <x:v>베이커리</x:v>
      </x:c>
      <x:c r="G130" s="15" t="n">
        <x:v>2</x:v>
      </x:c>
      <x:c r="H130" s="15" t="n">
        <x:v>3500</x:v>
      </x:c>
      <x:c r="I130" s="15" t="n">
        <x:f>G130*H130</x:f>
        <x:v>7000</x:v>
      </x:c>
      <x:c r="J130" s="15" t="n">
        <x:v>0</x:v>
      </x:c>
      <x:c r="K130" s="15" t="n">
        <x:f>I130-J130</x:f>
        <x:v>7000</x:v>
      </x:c>
    </x:row>
    <x:row r="131" ht="23" customHeight="1">
      <x:c r="A131" s="4" t="str">
        <x:v>R059-L03</x:v>
      </x:c>
      <x:c r="B131" s="4" t="str">
        <x:v>R059</x:v>
      </x:c>
      <x:c r="C131" s="5" t="n">
        <x:v>3</x:v>
      </x:c>
      <x:c r="D131" s="4" t="str">
        <x:v>P008</x:v>
      </x:c>
      <x:c r="E131" s="4" t="str">
        <x:v>자몽에이드</x:v>
      </x:c>
      <x:c r="F131" s="4" t="str">
        <x:v>음료</x:v>
      </x:c>
      <x:c r="G131" s="16" t="n">
        <x:v>2</x:v>
      </x:c>
      <x:c r="H131" s="16" t="n">
        <x:v>6000</x:v>
      </x:c>
      <x:c r="I131" s="16" t="n">
        <x:f>G131*H131</x:f>
        <x:v>12000</x:v>
      </x:c>
      <x:c r="J131" s="16" t="n">
        <x:v>0</x:v>
      </x:c>
      <x:c r="K131" s="16" t="n">
        <x:f>I131-J131</x:f>
        <x:v>12000</x:v>
      </x:c>
    </x:row>
    <x:row r="132" ht="23" customHeight="1">
      <x:c r="A132" s="11" t="str">
        <x:v>R060-L01</x:v>
      </x:c>
      <x:c r="B132" s="11" t="str">
        <x:v>R060</x:v>
      </x:c>
      <x:c r="C132" s="12" t="n">
        <x:v>1</x:v>
      </x:c>
      <x:c r="D132" s="11" t="str">
        <x:v>P002</x:v>
      </x:c>
      <x:c r="E132" s="11" t="str">
        <x:v>따뜻한 아메리카노</x:v>
      </x:c>
      <x:c r="F132" s="11" t="str">
        <x:v>커피</x:v>
      </x:c>
      <x:c r="G132" s="15" t="n">
        <x:v>1</x:v>
      </x:c>
      <x:c r="H132" s="15" t="n">
        <x:v>4500</x:v>
      </x:c>
      <x:c r="I132" s="15" t="n">
        <x:f>G132*H132</x:f>
        <x:v>4500</x:v>
      </x:c>
      <x:c r="J132" s="15" t="n">
        <x:v>0</x:v>
      </x:c>
      <x:c r="K132" s="15" t="n">
        <x:f>I132-J132</x:f>
        <x:v>4500</x:v>
      </x:c>
    </x:row>
    <x:row r="133" ht="23" customHeight="1">
      <x:c r="A133" s="4" t="str">
        <x:v>R060-L02</x:v>
      </x:c>
      <x:c r="B133" s="4" t="str">
        <x:v>R060</x:v>
      </x:c>
      <x:c r="C133" s="5" t="n">
        <x:v>2</x:v>
      </x:c>
      <x:c r="D133" s="4" t="str">
        <x:v>P016</x:v>
      </x:c>
      <x:c r="E133" s="4" t="str">
        <x:v>치즈케이크</x:v>
      </x:c>
      <x:c r="F133" s="4" t="str">
        <x:v>디저트</x:v>
      </x:c>
      <x:c r="G133" s="16" t="n">
        <x:v>1</x:v>
      </x:c>
      <x:c r="H133" s="16" t="n">
        <x:v>6500</x:v>
      </x:c>
      <x:c r="I133" s="16" t="n">
        <x:f>G133*H133</x:f>
        <x:v>6500</x:v>
      </x:c>
      <x:c r="J133" s="16" t="n">
        <x:v>0</x:v>
      </x:c>
      <x:c r="K133" s="16" t="n">
        <x:f>I133-J133</x:f>
        <x:v>6500</x:v>
      </x:c>
    </x:row>
    <x:row r="134" ht="23" customHeight="1">
      <x:c r="A134" s="11" t="str">
        <x:v>R061-L01</x:v>
      </x:c>
      <x:c r="B134" s="11" t="str">
        <x:v>R061</x:v>
      </x:c>
      <x:c r="C134" s="12" t="n">
        <x:v>1</x:v>
      </x:c>
      <x:c r="D134" s="11" t="str">
        <x:v>P004</x:v>
      </x:c>
      <x:c r="E134" s="11" t="str">
        <x:v>바닐라라떼</x:v>
      </x:c>
      <x:c r="F134" s="11" t="str">
        <x:v>커피</x:v>
      </x:c>
      <x:c r="G134" s="15" t="n">
        <x:v>1</x:v>
      </x:c>
      <x:c r="H134" s="15" t="n">
        <x:v>5500</x:v>
      </x:c>
      <x:c r="I134" s="15" t="n">
        <x:f>G134*H134</x:f>
        <x:v>5500</x:v>
      </x:c>
      <x:c r="J134" s="15" t="n">
        <x:v>300</x:v>
      </x:c>
      <x:c r="K134" s="15" t="n">
        <x:f>I134-J134</x:f>
        <x:v>5200</x:v>
      </x:c>
    </x:row>
    <x:row r="135" ht="23" customHeight="1">
      <x:c r="A135" s="4" t="str">
        <x:v>R061-L02</x:v>
      </x:c>
      <x:c r="B135" s="4" t="str">
        <x:v>R061</x:v>
      </x:c>
      <x:c r="C135" s="5" t="n">
        <x:v>2</x:v>
      </x:c>
      <x:c r="D135" s="4" t="str">
        <x:v>P017</x:v>
      </x:c>
      <x:c r="E135" s="4" t="str">
        <x:v>초콜릿브라우니</x:v>
      </x:c>
      <x:c r="F135" s="4" t="str">
        <x:v>디저트</x:v>
      </x:c>
      <x:c r="G135" s="16" t="n">
        <x:v>2</x:v>
      </x:c>
      <x:c r="H135" s="16" t="n">
        <x:v>4800</x:v>
      </x:c>
      <x:c r="I135" s="16" t="n">
        <x:f>G135*H135</x:f>
        <x:v>9600</x:v>
      </x:c>
      <x:c r="J135" s="16" t="n">
        <x:v>1000</x:v>
      </x:c>
      <x:c r="K135" s="16" t="n">
        <x:f>I135-J135</x:f>
        <x:v>8600</x:v>
      </x:c>
    </x:row>
    <x:row r="136" ht="23" customHeight="1">
      <x:c r="A136" s="11" t="str">
        <x:v>R062-L01</x:v>
      </x:c>
      <x:c r="B136" s="11" t="str">
        <x:v>R062</x:v>
      </x:c>
      <x:c r="C136" s="12" t="n">
        <x:v>1</x:v>
      </x:c>
      <x:c r="D136" s="11" t="str">
        <x:v>P007</x:v>
      </x:c>
      <x:c r="E136" s="11" t="str">
        <x:v>레몬에이드</x:v>
      </x:c>
      <x:c r="F136" s="11" t="str">
        <x:v>음료</x:v>
      </x:c>
      <x:c r="G136" s="15" t="n">
        <x:v>1</x:v>
      </x:c>
      <x:c r="H136" s="15" t="n">
        <x:v>6000</x:v>
      </x:c>
      <x:c r="I136" s="15" t="n">
        <x:f>G136*H136</x:f>
        <x:v>6000</x:v>
      </x:c>
      <x:c r="J136" s="15" t="n">
        <x:v>0</x:v>
      </x:c>
      <x:c r="K136" s="15" t="n">
        <x:f>I136-J136</x:f>
        <x:v>6000</x:v>
      </x:c>
    </x:row>
    <x:row r="137" ht="23" customHeight="1">
      <x:c r="A137" s="4" t="str">
        <x:v>R062-L02</x:v>
      </x:c>
      <x:c r="B137" s="4" t="str">
        <x:v>R062</x:v>
      </x:c>
      <x:c r="C137" s="5" t="n">
        <x:v>2</x:v>
      </x:c>
      <x:c r="D137" s="4" t="str">
        <x:v>P010</x:v>
      </x:c>
      <x:c r="E137" s="4" t="str">
        <x:v>초콜릿라떼</x:v>
      </x:c>
      <x:c r="F137" s="4" t="str">
        <x:v>음료</x:v>
      </x:c>
      <x:c r="G137" s="16" t="n">
        <x:v>2</x:v>
      </x:c>
      <x:c r="H137" s="16" t="n">
        <x:v>5500</x:v>
      </x:c>
      <x:c r="I137" s="16" t="n">
        <x:f>G137*H137</x:f>
        <x:v>11000</x:v>
      </x:c>
      <x:c r="J137" s="16" t="n">
        <x:v>0</x:v>
      </x:c>
      <x:c r="K137" s="16" t="n">
        <x:f>I137-J137</x:f>
        <x:v>11000</x:v>
      </x:c>
    </x:row>
    <x:row r="138" ht="23" customHeight="1">
      <x:c r="A138" s="11" t="str">
        <x:v>R063-L01</x:v>
      </x:c>
      <x:c r="B138" s="11" t="str">
        <x:v>R063</x:v>
      </x:c>
      <x:c r="C138" s="12" t="n">
        <x:v>1</x:v>
      </x:c>
      <x:c r="D138" s="11" t="str">
        <x:v>P007</x:v>
      </x:c>
      <x:c r="E138" s="11" t="str">
        <x:v>레몬에이드</x:v>
      </x:c>
      <x:c r="F138" s="11" t="str">
        <x:v>음료</x:v>
      </x:c>
      <x:c r="G138" s="15" t="n">
        <x:v>2</x:v>
      </x:c>
      <x:c r="H138" s="15" t="n">
        <x:v>6000</x:v>
      </x:c>
      <x:c r="I138" s="15" t="n">
        <x:f>G138*H138</x:f>
        <x:v>12000</x:v>
      </x:c>
      <x:c r="J138" s="15" t="n">
        <x:v>0</x:v>
      </x:c>
      <x:c r="K138" s="15" t="n">
        <x:f>I138-J138</x:f>
        <x:v>12000</x:v>
      </x:c>
    </x:row>
    <x:row r="139" ht="23" customHeight="1">
      <x:c r="A139" s="4" t="str">
        <x:v>R063-L02</x:v>
      </x:c>
      <x:c r="B139" s="4" t="str">
        <x:v>R063</x:v>
      </x:c>
      <x:c r="C139" s="5" t="n">
        <x:v>2</x:v>
      </x:c>
      <x:c r="D139" s="4" t="str">
        <x:v>P004</x:v>
      </x:c>
      <x:c r="E139" s="4" t="str">
        <x:v>바닐라라떼</x:v>
      </x:c>
      <x:c r="F139" s="4" t="str">
        <x:v>커피</x:v>
      </x:c>
      <x:c r="G139" s="16" t="n">
        <x:v>1</x:v>
      </x:c>
      <x:c r="H139" s="16" t="n">
        <x:v>5500</x:v>
      </x:c>
      <x:c r="I139" s="16" t="n">
        <x:f>G139*H139</x:f>
        <x:v>5500</x:v>
      </x:c>
      <x:c r="J139" s="16" t="n">
        <x:v>0</x:v>
      </x:c>
      <x:c r="K139" s="16" t="n">
        <x:f>I139-J139</x:f>
        <x:v>5500</x:v>
      </x:c>
    </x:row>
    <x:row r="140" ht="23" customHeight="1">
      <x:c r="A140" s="11" t="str">
        <x:v>R064-L01</x:v>
      </x:c>
      <x:c r="B140" s="11" t="str">
        <x:v>R064</x:v>
      </x:c>
      <x:c r="C140" s="12" t="n">
        <x:v>1</x:v>
      </x:c>
      <x:c r="D140" s="11" t="str">
        <x:v>P011</x:v>
      </x:c>
      <x:c r="E140" s="11" t="str">
        <x:v>얼그레이티</x:v>
      </x:c>
      <x:c r="F140" s="11" t="str">
        <x:v>차</x:v>
      </x:c>
      <x:c r="G140" s="15" t="n">
        <x:v>2</x:v>
      </x:c>
      <x:c r="H140" s="15" t="n">
        <x:v>4500</x:v>
      </x:c>
      <x:c r="I140" s="15" t="n">
        <x:f>G140*H140</x:f>
        <x:v>9000</x:v>
      </x:c>
      <x:c r="J140" s="15" t="n">
        <x:v>0</x:v>
      </x:c>
      <x:c r="K140" s="15" t="n">
        <x:f>I140-J140</x:f>
        <x:v>9000</x:v>
      </x:c>
    </x:row>
    <x:row r="141" ht="23" customHeight="1">
      <x:c r="A141" s="4" t="str">
        <x:v>R064-L02</x:v>
      </x:c>
      <x:c r="B141" s="4" t="str">
        <x:v>R064</x:v>
      </x:c>
      <x:c r="C141" s="5" t="n">
        <x:v>2</x:v>
      </x:c>
      <x:c r="D141" s="4" t="str">
        <x:v>P013</x:v>
      </x:c>
      <x:c r="E141" s="4" t="str">
        <x:v>크루아상</x:v>
      </x:c>
      <x:c r="F141" s="4" t="str">
        <x:v>베이커리</x:v>
      </x:c>
      <x:c r="G141" s="16" t="n">
        <x:v>1</x:v>
      </x:c>
      <x:c r="H141" s="16" t="n">
        <x:v>4000</x:v>
      </x:c>
      <x:c r="I141" s="16" t="n">
        <x:f>G141*H141</x:f>
        <x:v>4000</x:v>
      </x:c>
      <x:c r="J141" s="16" t="n">
        <x:v>0</x:v>
      </x:c>
      <x:c r="K141" s="16" t="n">
        <x:f>I141-J141</x:f>
        <x:v>4000</x:v>
      </x:c>
    </x:row>
    <x:row r="142" ht="23" customHeight="1">
      <x:c r="A142" s="11" t="str">
        <x:v>R064-L03</x:v>
      </x:c>
      <x:c r="B142" s="11" t="str">
        <x:v>R064</x:v>
      </x:c>
      <x:c r="C142" s="12" t="n">
        <x:v>3</x:v>
      </x:c>
      <x:c r="D142" s="11" t="str">
        <x:v>P017</x:v>
      </x:c>
      <x:c r="E142" s="11" t="str">
        <x:v>초콜릿브라우니</x:v>
      </x:c>
      <x:c r="F142" s="11" t="str">
        <x:v>디저트</x:v>
      </x:c>
      <x:c r="G142" s="15" t="n">
        <x:v>1</x:v>
      </x:c>
      <x:c r="H142" s="15" t="n">
        <x:v>4800</x:v>
      </x:c>
      <x:c r="I142" s="15" t="n">
        <x:f>G142*H142</x:f>
        <x:v>4800</x:v>
      </x:c>
      <x:c r="J142" s="15" t="n">
        <x:v>0</x:v>
      </x:c>
      <x:c r="K142" s="15" t="n">
        <x:f>I142-J142</x:f>
        <x:v>4800</x:v>
      </x:c>
    </x:row>
    <x:row r="143" ht="23" customHeight="1">
      <x:c r="A143" s="4" t="str">
        <x:v>R065-L01</x:v>
      </x:c>
      <x:c r="B143" s="4" t="str">
        <x:v>R065</x:v>
      </x:c>
      <x:c r="C143" s="5" t="n">
        <x:v>1</x:v>
      </x:c>
      <x:c r="D143" s="4" t="str">
        <x:v>P003</x:v>
      </x:c>
      <x:c r="E143" s="4" t="str">
        <x:v>카페라떼</x:v>
      </x:c>
      <x:c r="F143" s="4" t="str">
        <x:v>커피</x:v>
      </x:c>
      <x:c r="G143" s="16" t="n">
        <x:v>2</x:v>
      </x:c>
      <x:c r="H143" s="16" t="n">
        <x:v>5000</x:v>
      </x:c>
      <x:c r="I143" s="16" t="n">
        <x:f>G143*H143</x:f>
        <x:v>10000</x:v>
      </x:c>
      <x:c r="J143" s="16" t="n">
        <x:v>0</x:v>
      </x:c>
      <x:c r="K143" s="16" t="n">
        <x:f>I143-J143</x:f>
        <x:v>10000</x:v>
      </x:c>
    </x:row>
    <x:row r="144" ht="23" customHeight="1">
      <x:c r="A144" s="11" t="str">
        <x:v>R065-L02</x:v>
      </x:c>
      <x:c r="B144" s="11" t="str">
        <x:v>R065</x:v>
      </x:c>
      <x:c r="C144" s="12" t="n">
        <x:v>2</x:v>
      </x:c>
      <x:c r="D144" s="11" t="str">
        <x:v>P020</x:v>
      </x:c>
      <x:c r="E144" s="11" t="str">
        <x:v>치킨샌드위치</x:v>
      </x:c>
      <x:c r="F144" s="11" t="str">
        <x:v>식사</x:v>
      </x:c>
      <x:c r="G144" s="15" t="n">
        <x:v>1</x:v>
      </x:c>
      <x:c r="H144" s="15" t="n">
        <x:v>8000</x:v>
      </x:c>
      <x:c r="I144" s="15" t="n">
        <x:f>G144*H144</x:f>
        <x:v>8000</x:v>
      </x:c>
      <x:c r="J144" s="15" t="n">
        <x:v>0</x:v>
      </x:c>
      <x:c r="K144" s="15" t="n">
        <x:f>I144-J144</x:f>
        <x:v>8000</x:v>
      </x:c>
    </x:row>
    <x:row r="145" ht="23" customHeight="1">
      <x:c r="A145" s="4" t="str">
        <x:v>R065-L03</x:v>
      </x:c>
      <x:c r="B145" s="4" t="str">
        <x:v>R065</x:v>
      </x:c>
      <x:c r="C145" s="5" t="n">
        <x:v>3</x:v>
      </x:c>
      <x:c r="D145" s="4" t="str">
        <x:v>P013</x:v>
      </x:c>
      <x:c r="E145" s="4" t="str">
        <x:v>크루아상</x:v>
      </x:c>
      <x:c r="F145" s="4" t="str">
        <x:v>베이커리</x:v>
      </x:c>
      <x:c r="G145" s="16" t="n">
        <x:v>1</x:v>
      </x:c>
      <x:c r="H145" s="16" t="n">
        <x:v>4000</x:v>
      </x:c>
      <x:c r="I145" s="16" t="n">
        <x:f>G145*H145</x:f>
        <x:v>4000</x:v>
      </x:c>
      <x:c r="J145" s="16" t="n">
        <x:v>0</x:v>
      </x:c>
      <x:c r="K145" s="16" t="n">
        <x:f>I145-J145</x:f>
        <x:v>4000</x:v>
      </x:c>
    </x:row>
    <x:row r="146" ht="23" customHeight="1">
      <x:c r="A146" s="11" t="str">
        <x:v>R066-L01</x:v>
      </x:c>
      <x:c r="B146" s="11" t="str">
        <x:v>R066</x:v>
      </x:c>
      <x:c r="C146" s="12" t="n">
        <x:v>1</x:v>
      </x:c>
      <x:c r="D146" s="11" t="str">
        <x:v>P004</x:v>
      </x:c>
      <x:c r="E146" s="11" t="str">
        <x:v>바닐라라떼</x:v>
      </x:c>
      <x:c r="F146" s="11" t="str">
        <x:v>커피</x:v>
      </x:c>
      <x:c r="G146" s="15" t="n">
        <x:v>1</x:v>
      </x:c>
      <x:c r="H146" s="15" t="n">
        <x:v>5500</x:v>
      </x:c>
      <x:c r="I146" s="15" t="n">
        <x:f>G146*H146</x:f>
        <x:v>5500</x:v>
      </x:c>
      <x:c r="J146" s="15" t="n">
        <x:v>0</x:v>
      </x:c>
      <x:c r="K146" s="15" t="n">
        <x:f>I146-J146</x:f>
        <x:v>5500</x:v>
      </x:c>
    </x:row>
    <x:row r="147" ht="23" customHeight="1">
      <x:c r="A147" s="4" t="str">
        <x:v>R066-L02</x:v>
      </x:c>
      <x:c r="B147" s="4" t="str">
        <x:v>R066</x:v>
      </x:c>
      <x:c r="C147" s="5" t="n">
        <x:v>2</x:v>
      </x:c>
      <x:c r="D147" s="4" t="str">
        <x:v>P018</x:v>
      </x:c>
      <x:c r="E147" s="4" t="str">
        <x:v>마카롱</x:v>
      </x:c>
      <x:c r="F147" s="4" t="str">
        <x:v>디저트</x:v>
      </x:c>
      <x:c r="G147" s="16" t="n">
        <x:v>1</x:v>
      </x:c>
      <x:c r="H147" s="16" t="n">
        <x:v>2800</x:v>
      </x:c>
      <x:c r="I147" s="16" t="n">
        <x:f>G147*H147</x:f>
        <x:v>2800</x:v>
      </x:c>
      <x:c r="J147" s="16" t="n">
        <x:v>500</x:v>
      </x:c>
      <x:c r="K147" s="16" t="n">
        <x:f>I147-J147</x:f>
        <x:v>2300</x:v>
      </x:c>
    </x:row>
    <x:row r="148" ht="23" customHeight="1">
      <x:c r="A148" s="11" t="str">
        <x:v>R066-L03</x:v>
      </x:c>
      <x:c r="B148" s="11" t="str">
        <x:v>R066</x:v>
      </x:c>
      <x:c r="C148" s="12" t="n">
        <x:v>3</x:v>
      </x:c>
      <x:c r="D148" s="11" t="str">
        <x:v>P013</x:v>
      </x:c>
      <x:c r="E148" s="11" t="str">
        <x:v>크루아상</x:v>
      </x:c>
      <x:c r="F148" s="11" t="str">
        <x:v>베이커리</x:v>
      </x:c>
      <x:c r="G148" s="15" t="n">
        <x:v>1</x:v>
      </x:c>
      <x:c r="H148" s="15" t="n">
        <x:v>4000</x:v>
      </x:c>
      <x:c r="I148" s="15" t="n">
        <x:f>G148*H148</x:f>
        <x:v>4000</x:v>
      </x:c>
      <x:c r="J148" s="15" t="n">
        <x:v>0</x:v>
      </x:c>
      <x:c r="K148" s="15" t="n">
        <x:f>I148-J148</x:f>
        <x:v>4000</x:v>
      </x:c>
    </x:row>
    <x:row r="149" ht="23" customHeight="1">
      <x:c r="A149" s="4" t="str">
        <x:v>R067-L01</x:v>
      </x:c>
      <x:c r="B149" s="4" t="str">
        <x:v>R067</x:v>
      </x:c>
      <x:c r="C149" s="5" t="n">
        <x:v>1</x:v>
      </x:c>
      <x:c r="D149" s="4" t="str">
        <x:v>P012</x:v>
      </x:c>
      <x:c r="E149" s="4" t="str">
        <x:v>캐모마일티</x:v>
      </x:c>
      <x:c r="F149" s="4" t="str">
        <x:v>차</x:v>
      </x:c>
      <x:c r="G149" s="16" t="n">
        <x:v>1</x:v>
      </x:c>
      <x:c r="H149" s="16" t="n">
        <x:v>4500</x:v>
      </x:c>
      <x:c r="I149" s="16" t="n">
        <x:f>G149*H149</x:f>
        <x:v>4500</x:v>
      </x:c>
      <x:c r="J149" s="16" t="n">
        <x:v>300</x:v>
      </x:c>
      <x:c r="K149" s="16" t="n">
        <x:f>I149-J149</x:f>
        <x:v>4200</x:v>
      </x:c>
    </x:row>
    <x:row r="150" ht="23" customHeight="1">
      <x:c r="A150" s="11" t="str">
        <x:v>R067-L02</x:v>
      </x:c>
      <x:c r="B150" s="11" t="str">
        <x:v>R067</x:v>
      </x:c>
      <x:c r="C150" s="12" t="n">
        <x:v>2</x:v>
      </x:c>
      <x:c r="D150" s="11" t="str">
        <x:v>P010</x:v>
      </x:c>
      <x:c r="E150" s="11" t="str">
        <x:v>초콜릿라떼</x:v>
      </x:c>
      <x:c r="F150" s="11" t="str">
        <x:v>음료</x:v>
      </x:c>
      <x:c r="G150" s="15" t="n">
        <x:v>1</x:v>
      </x:c>
      <x:c r="H150" s="15" t="n">
        <x:v>5500</x:v>
      </x:c>
      <x:c r="I150" s="15" t="n">
        <x:f>G150*H150</x:f>
        <x:v>5500</x:v>
      </x:c>
      <x:c r="J150" s="15" t="n">
        <x:v>0</x:v>
      </x:c>
      <x:c r="K150" s="15" t="n">
        <x:f>I150-J150</x:f>
        <x:v>5500</x:v>
      </x:c>
    </x:row>
    <x:row r="151" ht="23" customHeight="1">
      <x:c r="A151" s="4" t="str">
        <x:v>R068-L01</x:v>
      </x:c>
      <x:c r="B151" s="4" t="str">
        <x:v>R068</x:v>
      </x:c>
      <x:c r="C151" s="5" t="n">
        <x:v>1</x:v>
      </x:c>
      <x:c r="D151" s="4" t="str">
        <x:v>P003</x:v>
      </x:c>
      <x:c r="E151" s="4" t="str">
        <x:v>카페라떼</x:v>
      </x:c>
      <x:c r="F151" s="4" t="str">
        <x:v>커피</x:v>
      </x:c>
      <x:c r="G151" s="16" t="n">
        <x:v>1</x:v>
      </x:c>
      <x:c r="H151" s="16" t="n">
        <x:v>5000</x:v>
      </x:c>
      <x:c r="I151" s="16" t="n">
        <x:f>G151*H151</x:f>
        <x:v>5000</x:v>
      </x:c>
      <x:c r="J151" s="16" t="n">
        <x:v>0</x:v>
      </x:c>
      <x:c r="K151" s="16" t="n">
        <x:f>I151-J151</x:f>
        <x:v>5000</x:v>
      </x:c>
    </x:row>
    <x:row r="152" ht="23" customHeight="1">
      <x:c r="A152" s="11" t="str">
        <x:v>R068-L02</x:v>
      </x:c>
      <x:c r="B152" s="11" t="str">
        <x:v>R068</x:v>
      </x:c>
      <x:c r="C152" s="12" t="n">
        <x:v>2</x:v>
      </x:c>
      <x:c r="D152" s="11" t="str">
        <x:v>P020</x:v>
      </x:c>
      <x:c r="E152" s="11" t="str">
        <x:v>치킨샌드위치</x:v>
      </x:c>
      <x:c r="F152" s="11" t="str">
        <x:v>식사</x:v>
      </x:c>
      <x:c r="G152" s="15" t="n">
        <x:v>1</x:v>
      </x:c>
      <x:c r="H152" s="15" t="n">
        <x:v>8000</x:v>
      </x:c>
      <x:c r="I152" s="15" t="n">
        <x:f>G152*H152</x:f>
        <x:v>8000</x:v>
      </x:c>
      <x:c r="J152" s="15" t="n">
        <x:v>0</x:v>
      </x:c>
      <x:c r="K152" s="15" t="n">
        <x:f>I152-J152</x:f>
        <x:v>8000</x:v>
      </x:c>
    </x:row>
    <x:row r="153" ht="23" customHeight="1">
      <x:c r="A153" s="4" t="str">
        <x:v>R069-L01</x:v>
      </x:c>
      <x:c r="B153" s="4" t="str">
        <x:v>R069</x:v>
      </x:c>
      <x:c r="C153" s="5" t="n">
        <x:v>1</x:v>
      </x:c>
      <x:c r="D153" s="4" t="str">
        <x:v>P006</x:v>
      </x:c>
      <x:c r="E153" s="4" t="str">
        <x:v>콜드브루</x:v>
      </x:c>
      <x:c r="F153" s="4" t="str">
        <x:v>커피</x:v>
      </x:c>
      <x:c r="G153" s="16" t="n">
        <x:v>1</x:v>
      </x:c>
      <x:c r="H153" s="16" t="n">
        <x:v>5500</x:v>
      </x:c>
      <x:c r="I153" s="16" t="n">
        <x:f>G153*H153</x:f>
        <x:v>5500</x:v>
      </x:c>
      <x:c r="J153" s="16" t="n">
        <x:v>0</x:v>
      </x:c>
      <x:c r="K153" s="16" t="n">
        <x:f>I153-J153</x:f>
        <x:v>5500</x:v>
      </x:c>
    </x:row>
    <x:row r="154" ht="23" customHeight="1">
      <x:c r="A154" s="11" t="str">
        <x:v>R069-L02</x:v>
      </x:c>
      <x:c r="B154" s="11" t="str">
        <x:v>R069</x:v>
      </x:c>
      <x:c r="C154" s="12" t="n">
        <x:v>2</x:v>
      </x:c>
      <x:c r="D154" s="11" t="str">
        <x:v>P014</x:v>
      </x:c>
      <x:c r="E154" s="11" t="str">
        <x:v>소금빵</x:v>
      </x:c>
      <x:c r="F154" s="11" t="str">
        <x:v>베이커리</x:v>
      </x:c>
      <x:c r="G154" s="15" t="n">
        <x:v>1</x:v>
      </x:c>
      <x:c r="H154" s="15" t="n">
        <x:v>3500</x:v>
      </x:c>
      <x:c r="I154" s="15" t="n">
        <x:f>G154*H154</x:f>
        <x:v>3500</x:v>
      </x:c>
      <x:c r="J154" s="15" t="n">
        <x:v>0</x:v>
      </x:c>
      <x:c r="K154" s="15" t="n">
        <x:f>I154-J154</x:f>
        <x:v>3500</x:v>
      </x:c>
    </x:row>
    <x:row r="155" ht="23" customHeight="1">
      <x:c r="A155" s="4" t="str">
        <x:v>R070-L01</x:v>
      </x:c>
      <x:c r="B155" s="4" t="str">
        <x:v>R070</x:v>
      </x:c>
      <x:c r="C155" s="5" t="n">
        <x:v>1</x:v>
      </x:c>
      <x:c r="D155" s="4" t="str">
        <x:v>P002</x:v>
      </x:c>
      <x:c r="E155" s="4" t="str">
        <x:v>따뜻한 아메리카노</x:v>
      </x:c>
      <x:c r="F155" s="4" t="str">
        <x:v>커피</x:v>
      </x:c>
      <x:c r="G155" s="16" t="n">
        <x:v>1</x:v>
      </x:c>
      <x:c r="H155" s="16" t="n">
        <x:v>4500</x:v>
      </x:c>
      <x:c r="I155" s="16" t="n">
        <x:f>G155*H155</x:f>
        <x:v>4500</x:v>
      </x:c>
      <x:c r="J155" s="16" t="n">
        <x:v>0</x:v>
      </x:c>
      <x:c r="K155" s="16" t="n">
        <x:f>I155-J155</x:f>
        <x:v>4500</x:v>
      </x:c>
    </x:row>
    <x:row r="156" ht="23" customHeight="1">
      <x:c r="A156" s="11" t="str">
        <x:v>R071-L01</x:v>
      </x:c>
      <x:c r="B156" s="11" t="str">
        <x:v>R071</x:v>
      </x:c>
      <x:c r="C156" s="12" t="n">
        <x:v>1</x:v>
      </x:c>
      <x:c r="D156" s="11" t="str">
        <x:v>P003</x:v>
      </x:c>
      <x:c r="E156" s="11" t="str">
        <x:v>카페라떼</x:v>
      </x:c>
      <x:c r="F156" s="11" t="str">
        <x:v>커피</x:v>
      </x:c>
      <x:c r="G156" s="15" t="n">
        <x:v>2</x:v>
      </x:c>
      <x:c r="H156" s="15" t="n">
        <x:v>5000</x:v>
      </x:c>
      <x:c r="I156" s="15" t="n">
        <x:f>G156*H156</x:f>
        <x:v>10000</x:v>
      </x:c>
      <x:c r="J156" s="15" t="n">
        <x:v>1000</x:v>
      </x:c>
      <x:c r="K156" s="15" t="n">
        <x:f>I156-J156</x:f>
        <x:v>9000</x:v>
      </x:c>
    </x:row>
    <x:row r="157" ht="23" customHeight="1">
      <x:c r="A157" s="4" t="str">
        <x:v>R071-L02</x:v>
      </x:c>
      <x:c r="B157" s="4" t="str">
        <x:v>R071</x:v>
      </x:c>
      <x:c r="C157" s="5" t="n">
        <x:v>2</x:v>
      </x:c>
      <x:c r="D157" s="4" t="str">
        <x:v>P007</x:v>
      </x:c>
      <x:c r="E157" s="4" t="str">
        <x:v>레몬에이드</x:v>
      </x:c>
      <x:c r="F157" s="4" t="str">
        <x:v>음료</x:v>
      </x:c>
      <x:c r="G157" s="16" t="n">
        <x:v>1</x:v>
      </x:c>
      <x:c r="H157" s="16" t="n">
        <x:v>6000</x:v>
      </x:c>
      <x:c r="I157" s="16" t="n">
        <x:f>G157*H157</x:f>
        <x:v>6000</x:v>
      </x:c>
      <x:c r="J157" s="16" t="n">
        <x:v>0</x:v>
      </x:c>
      <x:c r="K157" s="16" t="n">
        <x:f>I157-J157</x:f>
        <x:v>6000</x:v>
      </x:c>
    </x:row>
    <x:row r="158" ht="23" customHeight="1">
      <x:c r="A158" s="11" t="str">
        <x:v>R071-L03</x:v>
      </x:c>
      <x:c r="B158" s="11" t="str">
        <x:v>R071</x:v>
      </x:c>
      <x:c r="C158" s="12" t="n">
        <x:v>3</x:v>
      </x:c>
      <x:c r="D158" s="11" t="str">
        <x:v>P015</x:v>
      </x:c>
      <x:c r="E158" s="11" t="str">
        <x:v>블루베리머핀</x:v>
      </x:c>
      <x:c r="F158" s="11" t="str">
        <x:v>베이커리</x:v>
      </x:c>
      <x:c r="G158" s="15" t="n">
        <x:v>2</x:v>
      </x:c>
      <x:c r="H158" s="15" t="n">
        <x:v>4200</x:v>
      </x:c>
      <x:c r="I158" s="15" t="n">
        <x:f>G158*H158</x:f>
        <x:v>8400</x:v>
      </x:c>
      <x:c r="J158" s="15" t="n">
        <x:v>0</x:v>
      </x:c>
      <x:c r="K158" s="15" t="n">
        <x:f>I158-J158</x:f>
        <x:v>8400</x:v>
      </x:c>
    </x:row>
    <x:row r="159" ht="23" customHeight="1">
      <x:c r="A159" s="4" t="str">
        <x:v>R071-L04</x:v>
      </x:c>
      <x:c r="B159" s="4" t="str">
        <x:v>R071</x:v>
      </x:c>
      <x:c r="C159" s="5" t="n">
        <x:v>4</x:v>
      </x:c>
      <x:c r="D159" s="4" t="str">
        <x:v>P010</x:v>
      </x:c>
      <x:c r="E159" s="4" t="str">
        <x:v>초콜릿라떼</x:v>
      </x:c>
      <x:c r="F159" s="4" t="str">
        <x:v>음료</x:v>
      </x:c>
      <x:c r="G159" s="16" t="n">
        <x:v>1</x:v>
      </x:c>
      <x:c r="H159" s="16" t="n">
        <x:v>5500</x:v>
      </x:c>
      <x:c r="I159" s="16" t="n">
        <x:f>G159*H159</x:f>
        <x:v>5500</x:v>
      </x:c>
      <x:c r="J159" s="16" t="n">
        <x:v>1000</x:v>
      </x:c>
      <x:c r="K159" s="16" t="n">
        <x:f>I159-J159</x:f>
        <x:v>4500</x:v>
      </x:c>
    </x:row>
    <x:row r="160" ht="23" customHeight="1">
      <x:c r="A160" s="11" t="str">
        <x:v>R072-L01</x:v>
      </x:c>
      <x:c r="B160" s="11" t="str">
        <x:v>R072</x:v>
      </x:c>
      <x:c r="C160" s="12" t="n">
        <x:v>1</x:v>
      </x:c>
      <x:c r="D160" s="11" t="str">
        <x:v>P002</x:v>
      </x:c>
      <x:c r="E160" s="11" t="str">
        <x:v>따뜻한 아메리카노</x:v>
      </x:c>
      <x:c r="F160" s="11" t="str">
        <x:v>커피</x:v>
      </x:c>
      <x:c r="G160" s="15" t="n">
        <x:v>2</x:v>
      </x:c>
      <x:c r="H160" s="15" t="n">
        <x:v>4500</x:v>
      </x:c>
      <x:c r="I160" s="15" t="n">
        <x:f>G160*H160</x:f>
        <x:v>9000</x:v>
      </x:c>
      <x:c r="J160" s="15" t="n">
        <x:v>0</x:v>
      </x:c>
      <x:c r="K160" s="15" t="n">
        <x:f>I160-J160</x:f>
        <x:v>9000</x:v>
      </x:c>
    </x:row>
    <x:row r="161" ht="23" customHeight="1">
      <x:c r="A161" s="4" t="str">
        <x:v>R072-L02</x:v>
      </x:c>
      <x:c r="B161" s="4" t="str">
        <x:v>R072</x:v>
      </x:c>
      <x:c r="C161" s="5" t="n">
        <x:v>2</x:v>
      </x:c>
      <x:c r="D161" s="4" t="str">
        <x:v>P018</x:v>
      </x:c>
      <x:c r="E161" s="4" t="str">
        <x:v>마카롱</x:v>
      </x:c>
      <x:c r="F161" s="4" t="str">
        <x:v>디저트</x:v>
      </x:c>
      <x:c r="G161" s="16" t="n">
        <x:v>1</x:v>
      </x:c>
      <x:c r="H161" s="16" t="n">
        <x:v>2800</x:v>
      </x:c>
      <x:c r="I161" s="16" t="n">
        <x:f>G161*H161</x:f>
        <x:v>2800</x:v>
      </x:c>
      <x:c r="J161" s="16" t="n">
        <x:v>0</x:v>
      </x:c>
      <x:c r="K161" s="16" t="n">
        <x:f>I161-J161</x:f>
        <x:v>2800</x:v>
      </x:c>
    </x:row>
    <x:row r="162" ht="23" customHeight="1">
      <x:c r="A162" s="11" t="str">
        <x:v>R072-L03</x:v>
      </x:c>
      <x:c r="B162" s="11" t="str">
        <x:v>R072</x:v>
      </x:c>
      <x:c r="C162" s="12" t="n">
        <x:v>3</x:v>
      </x:c>
      <x:c r="D162" s="11" t="str">
        <x:v>P014</x:v>
      </x:c>
      <x:c r="E162" s="11" t="str">
        <x:v>소금빵</x:v>
      </x:c>
      <x:c r="F162" s="11" t="str">
        <x:v>베이커리</x:v>
      </x:c>
      <x:c r="G162" s="15" t="n">
        <x:v>1</x:v>
      </x:c>
      <x:c r="H162" s="15" t="n">
        <x:v>3500</x:v>
      </x:c>
      <x:c r="I162" s="15" t="n">
        <x:f>G162*H162</x:f>
        <x:v>3500</x:v>
      </x:c>
      <x:c r="J162" s="15" t="n">
        <x:v>0</x:v>
      </x:c>
      <x:c r="K162" s="15" t="n">
        <x:f>I162-J162</x:f>
        <x:v>3500</x:v>
      </x:c>
    </x:row>
    <x:row r="163" ht="23" customHeight="1">
      <x:c r="A163" s="4" t="str">
        <x:v>R073-L01</x:v>
      </x:c>
      <x:c r="B163" s="4" t="str">
        <x:v>R073</x:v>
      </x:c>
      <x:c r="C163" s="5" t="n">
        <x:v>1</x:v>
      </x:c>
      <x:c r="D163" s="4" t="str">
        <x:v>P004</x:v>
      </x:c>
      <x:c r="E163" s="4" t="str">
        <x:v>바닐라라떼</x:v>
      </x:c>
      <x:c r="F163" s="4" t="str">
        <x:v>커피</x:v>
      </x:c>
      <x:c r="G163" s="16" t="n">
        <x:v>1</x:v>
      </x:c>
      <x:c r="H163" s="16" t="n">
        <x:v>5500</x:v>
      </x:c>
      <x:c r="I163" s="16" t="n">
        <x:f>G163*H163</x:f>
        <x:v>5500</x:v>
      </x:c>
      <x:c r="J163" s="16" t="n">
        <x:v>0</x:v>
      </x:c>
      <x:c r="K163" s="16" t="n">
        <x:f>I163-J163</x:f>
        <x:v>5500</x:v>
      </x:c>
    </x:row>
    <x:row r="164" ht="23" customHeight="1">
      <x:c r="A164" s="11" t="str">
        <x:v>R073-L02</x:v>
      </x:c>
      <x:c r="B164" s="11" t="str">
        <x:v>R073</x:v>
      </x:c>
      <x:c r="C164" s="12" t="n">
        <x:v>2</x:v>
      </x:c>
      <x:c r="D164" s="11" t="str">
        <x:v>P003</x:v>
      </x:c>
      <x:c r="E164" s="11" t="str">
        <x:v>카페라떼</x:v>
      </x:c>
      <x:c r="F164" s="11" t="str">
        <x:v>커피</x:v>
      </x:c>
      <x:c r="G164" s="15" t="n">
        <x:v>2</x:v>
      </x:c>
      <x:c r="H164" s="15" t="n">
        <x:v>5000</x:v>
      </x:c>
      <x:c r="I164" s="15" t="n">
        <x:f>G164*H164</x:f>
        <x:v>10000</x:v>
      </x:c>
      <x:c r="J164" s="15" t="n">
        <x:v>0</x:v>
      </x:c>
      <x:c r="K164" s="15" t="n">
        <x:f>I164-J164</x:f>
        <x:v>10000</x:v>
      </x:c>
    </x:row>
    <x:row r="165" ht="23" customHeight="1">
      <x:c r="A165" s="4" t="str">
        <x:v>R074-L01</x:v>
      </x:c>
      <x:c r="B165" s="4" t="str">
        <x:v>R074</x:v>
      </x:c>
      <x:c r="C165" s="5" t="n">
        <x:v>1</x:v>
      </x:c>
      <x:c r="D165" s="4" t="str">
        <x:v>P007</x:v>
      </x:c>
      <x:c r="E165" s="4" t="str">
        <x:v>레몬에이드</x:v>
      </x:c>
      <x:c r="F165" s="4" t="str">
        <x:v>음료</x:v>
      </x:c>
      <x:c r="G165" s="16" t="n">
        <x:v>1</x:v>
      </x:c>
      <x:c r="H165" s="16" t="n">
        <x:v>6000</x:v>
      </x:c>
      <x:c r="I165" s="16" t="n">
        <x:f>G165*H165</x:f>
        <x:v>6000</x:v>
      </x:c>
      <x:c r="J165" s="16" t="n">
        <x:v>0</x:v>
      </x:c>
      <x:c r="K165" s="16" t="n">
        <x:f>I165-J165</x:f>
        <x:v>6000</x:v>
      </x:c>
    </x:row>
    <x:row r="166" ht="23" customHeight="1">
      <x:c r="A166" s="11" t="str">
        <x:v>R074-L02</x:v>
      </x:c>
      <x:c r="B166" s="11" t="str">
        <x:v>R074</x:v>
      </x:c>
      <x:c r="C166" s="12" t="n">
        <x:v>2</x:v>
      </x:c>
      <x:c r="D166" s="11" t="str">
        <x:v>P003</x:v>
      </x:c>
      <x:c r="E166" s="11" t="str">
        <x:v>카페라떼</x:v>
      </x:c>
      <x:c r="F166" s="11" t="str">
        <x:v>커피</x:v>
      </x:c>
      <x:c r="G166" s="15" t="n">
        <x:v>1</x:v>
      </x:c>
      <x:c r="H166" s="15" t="n">
        <x:v>5000</x:v>
      </x:c>
      <x:c r="I166" s="15" t="n">
        <x:f>G166*H166</x:f>
        <x:v>5000</x:v>
      </x:c>
      <x:c r="J166" s="15" t="n">
        <x:v>0</x:v>
      </x:c>
      <x:c r="K166" s="15" t="n">
        <x:f>I166-J166</x:f>
        <x:v>5000</x:v>
      </x:c>
    </x:row>
    <x:row r="167" ht="23" customHeight="1">
      <x:c r="A167" s="4" t="str">
        <x:v>R074-L03</x:v>
      </x:c>
      <x:c r="B167" s="4" t="str">
        <x:v>R074</x:v>
      </x:c>
      <x:c r="C167" s="5" t="n">
        <x:v>3</x:v>
      </x:c>
      <x:c r="D167" s="4" t="str">
        <x:v>P015</x:v>
      </x:c>
      <x:c r="E167" s="4" t="str">
        <x:v>블루베리머핀</x:v>
      </x:c>
      <x:c r="F167" s="4" t="str">
        <x:v>베이커리</x:v>
      </x:c>
      <x:c r="G167" s="16" t="n">
        <x:v>1</x:v>
      </x:c>
      <x:c r="H167" s="16" t="n">
        <x:v>4200</x:v>
      </x:c>
      <x:c r="I167" s="16" t="n">
        <x:f>G167*H167</x:f>
        <x:v>4200</x:v>
      </x:c>
      <x:c r="J167" s="16" t="n">
        <x:v>0</x:v>
      </x:c>
      <x:c r="K167" s="16" t="n">
        <x:f>I167-J167</x:f>
        <x:v>4200</x:v>
      </x:c>
    </x:row>
    <x:row r="168" ht="23" customHeight="1">
      <x:c r="A168" s="11" t="str">
        <x:v>R075-L01</x:v>
      </x:c>
      <x:c r="B168" s="11" t="str">
        <x:v>R075</x:v>
      </x:c>
      <x:c r="C168" s="12" t="n">
        <x:v>1</x:v>
      </x:c>
      <x:c r="D168" s="11" t="str">
        <x:v>P005</x:v>
      </x:c>
      <x:c r="E168" s="11" t="str">
        <x:v>카푸치노</x:v>
      </x:c>
      <x:c r="F168" s="11" t="str">
        <x:v>커피</x:v>
      </x:c>
      <x:c r="G168" s="15" t="n">
        <x:v>1</x:v>
      </x:c>
      <x:c r="H168" s="15" t="n">
        <x:v>5000</x:v>
      </x:c>
      <x:c r="I168" s="15" t="n">
        <x:f>G168*H168</x:f>
        <x:v>5000</x:v>
      </x:c>
      <x:c r="J168" s="15" t="n">
        <x:v>0</x:v>
      </x:c>
      <x:c r="K168" s="15" t="n">
        <x:f>I168-J168</x:f>
        <x:v>5000</x:v>
      </x:c>
    </x:row>
    <x:row r="169" ht="23" customHeight="1">
      <x:c r="A169" s="4" t="str">
        <x:v>R075-L02</x:v>
      </x:c>
      <x:c r="B169" s="4" t="str">
        <x:v>R075</x:v>
      </x:c>
      <x:c r="C169" s="5" t="n">
        <x:v>2</x:v>
      </x:c>
      <x:c r="D169" s="4" t="str">
        <x:v>P007</x:v>
      </x:c>
      <x:c r="E169" s="4" t="str">
        <x:v>레몬에이드</x:v>
      </x:c>
      <x:c r="F169" s="4" t="str">
        <x:v>음료</x:v>
      </x:c>
      <x:c r="G169" s="16" t="n">
        <x:v>1</x:v>
      </x:c>
      <x:c r="H169" s="16" t="n">
        <x:v>6000</x:v>
      </x:c>
      <x:c r="I169" s="16" t="n">
        <x:f>G169*H169</x:f>
        <x:v>6000</x:v>
      </x:c>
      <x:c r="J169" s="16" t="n">
        <x:v>1000</x:v>
      </x:c>
      <x:c r="K169" s="16" t="n">
        <x:f>I169-J169</x:f>
        <x:v>5000</x:v>
      </x:c>
    </x:row>
    <x:row r="170" ht="23" customHeight="1">
      <x:c r="A170" s="11" t="str">
        <x:v>R075-L03</x:v>
      </x:c>
      <x:c r="B170" s="11" t="str">
        <x:v>R075</x:v>
      </x:c>
      <x:c r="C170" s="12" t="n">
        <x:v>3</x:v>
      </x:c>
      <x:c r="D170" s="11" t="str">
        <x:v>P008</x:v>
      </x:c>
      <x:c r="E170" s="11" t="str">
        <x:v>자몽에이드</x:v>
      </x:c>
      <x:c r="F170" s="11" t="str">
        <x:v>음료</x:v>
      </x:c>
      <x:c r="G170" s="15" t="n">
        <x:v>1</x:v>
      </x:c>
      <x:c r="H170" s="15" t="n">
        <x:v>6000</x:v>
      </x:c>
      <x:c r="I170" s="15" t="n">
        <x:f>G170*H170</x:f>
        <x:v>6000</x:v>
      </x:c>
      <x:c r="J170" s="15" t="n">
        <x:v>0</x:v>
      </x:c>
      <x:c r="K170" s="15" t="n">
        <x:f>I170-J170</x:f>
        <x:v>6000</x:v>
      </x:c>
    </x:row>
    <x:row r="171" ht="23" customHeight="1">
      <x:c r="A171" s="4" t="str">
        <x:v>R076-L01</x:v>
      </x:c>
      <x:c r="B171" s="4" t="str">
        <x:v>R076</x:v>
      </x:c>
      <x:c r="C171" s="5" t="n">
        <x:v>1</x:v>
      </x:c>
      <x:c r="D171" s="4" t="str">
        <x:v>P011</x:v>
      </x:c>
      <x:c r="E171" s="4" t="str">
        <x:v>얼그레이티</x:v>
      </x:c>
      <x:c r="F171" s="4" t="str">
        <x:v>차</x:v>
      </x:c>
      <x:c r="G171" s="16" t="n">
        <x:v>1</x:v>
      </x:c>
      <x:c r="H171" s="16" t="n">
        <x:v>4500</x:v>
      </x:c>
      <x:c r="I171" s="16" t="n">
        <x:f>G171*H171</x:f>
        <x:v>4500</x:v>
      </x:c>
      <x:c r="J171" s="16" t="n">
        <x:v>300</x:v>
      </x:c>
      <x:c r="K171" s="16" t="n">
        <x:f>I171-J171</x:f>
        <x:v>4200</x:v>
      </x:c>
    </x:row>
    <x:row r="172" ht="23" customHeight="1">
      <x:c r="A172" s="11" t="str">
        <x:v>R076-L02</x:v>
      </x:c>
      <x:c r="B172" s="11" t="str">
        <x:v>R076</x:v>
      </x:c>
      <x:c r="C172" s="12" t="n">
        <x:v>2</x:v>
      </x:c>
      <x:c r="D172" s="11" t="str">
        <x:v>P014</x:v>
      </x:c>
      <x:c r="E172" s="11" t="str">
        <x:v>소금빵</x:v>
      </x:c>
      <x:c r="F172" s="11" t="str">
        <x:v>베이커리</x:v>
      </x:c>
      <x:c r="G172" s="15" t="n">
        <x:v>1</x:v>
      </x:c>
      <x:c r="H172" s="15" t="n">
        <x:v>3500</x:v>
      </x:c>
      <x:c r="I172" s="15" t="n">
        <x:f>G172*H172</x:f>
        <x:v>3500</x:v>
      </x:c>
      <x:c r="J172" s="15" t="n">
        <x:v>0</x:v>
      </x:c>
      <x:c r="K172" s="15" t="n">
        <x:f>I172-J172</x:f>
        <x:v>3500</x:v>
      </x:c>
    </x:row>
    <x:row r="173" ht="23" customHeight="1">
      <x:c r="A173" s="4" t="str">
        <x:v>R077-L01</x:v>
      </x:c>
      <x:c r="B173" s="4" t="str">
        <x:v>R077</x:v>
      </x:c>
      <x:c r="C173" s="5" t="n">
        <x:v>1</x:v>
      </x:c>
      <x:c r="D173" s="4" t="str">
        <x:v>P001</x:v>
      </x:c>
      <x:c r="E173" s="4" t="str">
        <x:v>아이스 아메리카노</x:v>
      </x:c>
      <x:c r="F173" s="4" t="str">
        <x:v>커피</x:v>
      </x:c>
      <x:c r="G173" s="16" t="n">
        <x:v>1</x:v>
      </x:c>
      <x:c r="H173" s="16" t="n">
        <x:v>4500</x:v>
      </x:c>
      <x:c r="I173" s="16" t="n">
        <x:f>G173*H173</x:f>
        <x:v>4500</x:v>
      </x:c>
      <x:c r="J173" s="16" t="n">
        <x:v>0</x:v>
      </x:c>
      <x:c r="K173" s="16" t="n">
        <x:f>I173-J173</x:f>
        <x:v>4500</x:v>
      </x:c>
    </x:row>
    <x:row r="174" ht="23" customHeight="1">
      <x:c r="A174" s="11" t="str">
        <x:v>R077-L02</x:v>
      </x:c>
      <x:c r="B174" s="11" t="str">
        <x:v>R077</x:v>
      </x:c>
      <x:c r="C174" s="12" t="n">
        <x:v>2</x:v>
      </x:c>
      <x:c r="D174" s="11" t="str">
        <x:v>P019</x:v>
      </x:c>
      <x:c r="E174" s="11" t="str">
        <x:v>햄치즈샌드위치</x:v>
      </x:c>
      <x:c r="F174" s="11" t="str">
        <x:v>식사</x:v>
      </x:c>
      <x:c r="G174" s="15" t="n">
        <x:v>1</x:v>
      </x:c>
      <x:c r="H174" s="15" t="n">
        <x:v>7500</x:v>
      </x:c>
      <x:c r="I174" s="15" t="n">
        <x:f>G174*H174</x:f>
        <x:v>7500</x:v>
      </x:c>
      <x:c r="J174" s="15" t="n">
        <x:v>0</x:v>
      </x:c>
      <x:c r="K174" s="15" t="n">
        <x:f>I174-J174</x:f>
        <x:v>7500</x:v>
      </x:c>
    </x:row>
    <x:row r="175" ht="23" customHeight="1">
      <x:c r="A175" s="4" t="str">
        <x:v>R078-L01</x:v>
      </x:c>
      <x:c r="B175" s="4" t="str">
        <x:v>R078</x:v>
      </x:c>
      <x:c r="C175" s="5" t="n">
        <x:v>1</x:v>
      </x:c>
      <x:c r="D175" s="4" t="str">
        <x:v>P007</x:v>
      </x:c>
      <x:c r="E175" s="4" t="str">
        <x:v>레몬에이드</x:v>
      </x:c>
      <x:c r="F175" s="4" t="str">
        <x:v>음료</x:v>
      </x:c>
      <x:c r="G175" s="16" t="n">
        <x:v>1</x:v>
      </x:c>
      <x:c r="H175" s="16" t="n">
        <x:v>6000</x:v>
      </x:c>
      <x:c r="I175" s="16" t="n">
        <x:f>G175*H175</x:f>
        <x:v>6000</x:v>
      </x:c>
      <x:c r="J175" s="16" t="n">
        <x:v>0</x:v>
      </x:c>
      <x:c r="K175" s="16" t="n">
        <x:f>I175-J175</x:f>
        <x:v>6000</x:v>
      </x:c>
    </x:row>
    <x:row r="176" ht="23" customHeight="1">
      <x:c r="A176" s="11" t="str">
        <x:v>R078-L02</x:v>
      </x:c>
      <x:c r="B176" s="11" t="str">
        <x:v>R078</x:v>
      </x:c>
      <x:c r="C176" s="12" t="n">
        <x:v>2</x:v>
      </x:c>
      <x:c r="D176" s="11" t="str">
        <x:v>P008</x:v>
      </x:c>
      <x:c r="E176" s="11" t="str">
        <x:v>자몽에이드</x:v>
      </x:c>
      <x:c r="F176" s="11" t="str">
        <x:v>음료</x:v>
      </x:c>
      <x:c r="G176" s="15" t="n">
        <x:v>1</x:v>
      </x:c>
      <x:c r="H176" s="15" t="n">
        <x:v>6000</x:v>
      </x:c>
      <x:c r="I176" s="15" t="n">
        <x:f>G176*H176</x:f>
        <x:v>6000</x:v>
      </x:c>
      <x:c r="J176" s="15" t="n">
        <x:v>0</x:v>
      </x:c>
      <x:c r="K176" s="15" t="n">
        <x:f>I176-J176</x:f>
        <x:v>6000</x:v>
      </x:c>
    </x:row>
    <x:row r="177" ht="23" customHeight="1">
      <x:c r="A177" s="4" t="str">
        <x:v>R079-L01</x:v>
      </x:c>
      <x:c r="B177" s="4" t="str">
        <x:v>R079</x:v>
      </x:c>
      <x:c r="C177" s="5" t="n">
        <x:v>1</x:v>
      </x:c>
      <x:c r="D177" s="4" t="str">
        <x:v>P001</x:v>
      </x:c>
      <x:c r="E177" s="4" t="str">
        <x:v>아이스 아메리카노</x:v>
      </x:c>
      <x:c r="F177" s="4" t="str">
        <x:v>커피</x:v>
      </x:c>
      <x:c r="G177" s="16" t="n">
        <x:v>1</x:v>
      </x:c>
      <x:c r="H177" s="16" t="n">
        <x:v>4500</x:v>
      </x:c>
      <x:c r="I177" s="16" t="n">
        <x:f>G177*H177</x:f>
        <x:v>4500</x:v>
      </x:c>
      <x:c r="J177" s="16" t="n">
        <x:v>0</x:v>
      </x:c>
      <x:c r="K177" s="16" t="n">
        <x:f>I177-J177</x:f>
        <x:v>4500</x:v>
      </x:c>
    </x:row>
    <x:row r="178" ht="23" customHeight="1">
      <x:c r="A178" s="11" t="str">
        <x:v>R079-L02</x:v>
      </x:c>
      <x:c r="B178" s="11" t="str">
        <x:v>R079</x:v>
      </x:c>
      <x:c r="C178" s="12" t="n">
        <x:v>2</x:v>
      </x:c>
      <x:c r="D178" s="11" t="str">
        <x:v>P015</x:v>
      </x:c>
      <x:c r="E178" s="11" t="str">
        <x:v>블루베리머핀</x:v>
      </x:c>
      <x:c r="F178" s="11" t="str">
        <x:v>베이커리</x:v>
      </x:c>
      <x:c r="G178" s="15" t="n">
        <x:v>1</x:v>
      </x:c>
      <x:c r="H178" s="15" t="n">
        <x:v>4200</x:v>
      </x:c>
      <x:c r="I178" s="15" t="n">
        <x:f>G178*H178</x:f>
        <x:v>4200</x:v>
      </x:c>
      <x:c r="J178" s="15" t="n">
        <x:v>0</x:v>
      </x:c>
      <x:c r="K178" s="15" t="n">
        <x:f>I178-J178</x:f>
        <x:v>4200</x:v>
      </x:c>
    </x:row>
    <x:row r="179" ht="23" customHeight="1">
      <x:c r="A179" s="4" t="str">
        <x:v>R079-L03</x:v>
      </x:c>
      <x:c r="B179" s="4" t="str">
        <x:v>R079</x:v>
      </x:c>
      <x:c r="C179" s="5" t="n">
        <x:v>3</x:v>
      </x:c>
      <x:c r="D179" s="4" t="str">
        <x:v>P019</x:v>
      </x:c>
      <x:c r="E179" s="4" t="str">
        <x:v>햄치즈샌드위치</x:v>
      </x:c>
      <x:c r="F179" s="4" t="str">
        <x:v>식사</x:v>
      </x:c>
      <x:c r="G179" s="16" t="n">
        <x:v>1</x:v>
      </x:c>
      <x:c r="H179" s="16" t="n">
        <x:v>7500</x:v>
      </x:c>
      <x:c r="I179" s="16" t="n">
        <x:f>G179*H179</x:f>
        <x:v>7500</x:v>
      </x:c>
      <x:c r="J179" s="16" t="n">
        <x:v>0</x:v>
      </x:c>
      <x:c r="K179" s="16" t="n">
        <x:f>I179-J179</x:f>
        <x:v>7500</x:v>
      </x:c>
    </x:row>
    <x:row r="180" ht="23" customHeight="1">
      <x:c r="A180" s="11" t="str">
        <x:v>R080-L01</x:v>
      </x:c>
      <x:c r="B180" s="11" t="str">
        <x:v>R080</x:v>
      </x:c>
      <x:c r="C180" s="12" t="n">
        <x:v>1</x:v>
      </x:c>
      <x:c r="D180" s="11" t="str">
        <x:v>P011</x:v>
      </x:c>
      <x:c r="E180" s="11" t="str">
        <x:v>얼그레이티</x:v>
      </x:c>
      <x:c r="F180" s="11" t="str">
        <x:v>차</x:v>
      </x:c>
      <x:c r="G180" s="15" t="n">
        <x:v>1</x:v>
      </x:c>
      <x:c r="H180" s="15" t="n">
        <x:v>4500</x:v>
      </x:c>
      <x:c r="I180" s="15" t="n">
        <x:f>G180*H180</x:f>
        <x:v>4500</x:v>
      </x:c>
      <x:c r="J180" s="15" t="n">
        <x:v>0</x:v>
      </x:c>
      <x:c r="K180" s="15" t="n">
        <x:f>I180-J180</x:f>
        <x:v>4500</x:v>
      </x:c>
    </x:row>
    <x:row r="181" ht="23" customHeight="1">
      <x:c r="A181" s="4" t="str">
        <x:v>R080-L02</x:v>
      </x:c>
      <x:c r="B181" s="4" t="str">
        <x:v>R080</x:v>
      </x:c>
      <x:c r="C181" s="5" t="n">
        <x:v>2</x:v>
      </x:c>
      <x:c r="D181" s="4" t="str">
        <x:v>P004</x:v>
      </x:c>
      <x:c r="E181" s="4" t="str">
        <x:v>바닐라라떼</x:v>
      </x:c>
      <x:c r="F181" s="4" t="str">
        <x:v>커피</x:v>
      </x:c>
      <x:c r="G181" s="16" t="n">
        <x:v>2</x:v>
      </x:c>
      <x:c r="H181" s="16" t="n">
        <x:v>5500</x:v>
      </x:c>
      <x:c r="I181" s="16" t="n">
        <x:f>G181*H181</x:f>
        <x:v>11000</x:v>
      </x:c>
      <x:c r="J181" s="16" t="n">
        <x:v>0</x:v>
      </x:c>
      <x:c r="K181" s="16" t="n">
        <x:f>I181-J181</x:f>
        <x:v>11000</x:v>
      </x:c>
    </x:row>
    <x:row r="182" ht="23" customHeight="1">
      <x:c r="A182" s="11" t="str">
        <x:v>R080-L03</x:v>
      </x:c>
      <x:c r="B182" s="11" t="str">
        <x:v>R080</x:v>
      </x:c>
      <x:c r="C182" s="12" t="n">
        <x:v>3</x:v>
      </x:c>
      <x:c r="D182" s="11" t="str">
        <x:v>P019</x:v>
      </x:c>
      <x:c r="E182" s="11" t="str">
        <x:v>햄치즈샌드위치</x:v>
      </x:c>
      <x:c r="F182" s="11" t="str">
        <x:v>식사</x:v>
      </x:c>
      <x:c r="G182" s="15" t="n">
        <x:v>1</x:v>
      </x:c>
      <x:c r="H182" s="15" t="n">
        <x:v>7500</x:v>
      </x:c>
      <x:c r="I182" s="15" t="n">
        <x:f>G182*H182</x:f>
        <x:v>7500</x:v>
      </x:c>
      <x:c r="J182" s="15" t="n">
        <x:v>0</x:v>
      </x:c>
      <x:c r="K182" s="15" t="n">
        <x:f>I182-J182</x:f>
        <x:v>7500</x:v>
      </x:c>
    </x:row>
    <x:row r="183" ht="23" customHeight="1">
      <x:c r="A183" s="4" t="str">
        <x:v>R081-L01</x:v>
      </x:c>
      <x:c r="B183" s="4" t="str">
        <x:v>R081</x:v>
      </x:c>
      <x:c r="C183" s="5" t="n">
        <x:v>1</x:v>
      </x:c>
      <x:c r="D183" s="4" t="str">
        <x:v>P001</x:v>
      </x:c>
      <x:c r="E183" s="4" t="str">
        <x:v>아이스 아메리카노</x:v>
      </x:c>
      <x:c r="F183" s="4" t="str">
        <x:v>커피</x:v>
      </x:c>
      <x:c r="G183" s="16" t="n">
        <x:v>2</x:v>
      </x:c>
      <x:c r="H183" s="16" t="n">
        <x:v>4500</x:v>
      </x:c>
      <x:c r="I183" s="16" t="n">
        <x:f>G183*H183</x:f>
        <x:v>9000</x:v>
      </x:c>
      <x:c r="J183" s="16" t="n">
        <x:v>0</x:v>
      </x:c>
      <x:c r="K183" s="16" t="n">
        <x:f>I183-J183</x:f>
        <x:v>9000</x:v>
      </x:c>
    </x:row>
    <x:row r="184" ht="23" customHeight="1">
      <x:c r="A184" s="11" t="str">
        <x:v>R082-L01</x:v>
      </x:c>
      <x:c r="B184" s="11" t="str">
        <x:v>R082</x:v>
      </x:c>
      <x:c r="C184" s="12" t="n">
        <x:v>1</x:v>
      </x:c>
      <x:c r="D184" s="11" t="str">
        <x:v>P005</x:v>
      </x:c>
      <x:c r="E184" s="11" t="str">
        <x:v>카푸치노</x:v>
      </x:c>
      <x:c r="F184" s="11" t="str">
        <x:v>커피</x:v>
      </x:c>
      <x:c r="G184" s="15" t="n">
        <x:v>1</x:v>
      </x:c>
      <x:c r="H184" s="15" t="n">
        <x:v>5000</x:v>
      </x:c>
      <x:c r="I184" s="15" t="n">
        <x:f>G184*H184</x:f>
        <x:v>5000</x:v>
      </x:c>
      <x:c r="J184" s="15" t="n">
        <x:v>0</x:v>
      </x:c>
      <x:c r="K184" s="15" t="n">
        <x:f>I184-J184</x:f>
        <x:v>5000</x:v>
      </x:c>
    </x:row>
    <x:row r="185" ht="23" customHeight="1">
      <x:c r="A185" s="4" t="str">
        <x:v>R082-L02</x:v>
      </x:c>
      <x:c r="B185" s="4" t="str">
        <x:v>R082</x:v>
      </x:c>
      <x:c r="C185" s="5" t="n">
        <x:v>2</x:v>
      </x:c>
      <x:c r="D185" s="4" t="str">
        <x:v>P003</x:v>
      </x:c>
      <x:c r="E185" s="4" t="str">
        <x:v>카페라떼</x:v>
      </x:c>
      <x:c r="F185" s="4" t="str">
        <x:v>커피</x:v>
      </x:c>
      <x:c r="G185" s="16" t="n">
        <x:v>1</x:v>
      </x:c>
      <x:c r="H185" s="16" t="n">
        <x:v>5000</x:v>
      </x:c>
      <x:c r="I185" s="16" t="n">
        <x:f>G185*H185</x:f>
        <x:v>5000</x:v>
      </x:c>
      <x:c r="J185" s="16" t="n">
        <x:v>500</x:v>
      </x:c>
      <x:c r="K185" s="16" t="n">
        <x:f>I185-J185</x:f>
        <x:v>4500</x:v>
      </x:c>
    </x:row>
    <x:row r="186" ht="23" customHeight="1">
      <x:c r="A186" s="11" t="str">
        <x:v>R082-L03</x:v>
      </x:c>
      <x:c r="B186" s="11" t="str">
        <x:v>R082</x:v>
      </x:c>
      <x:c r="C186" s="12" t="n">
        <x:v>3</x:v>
      </x:c>
      <x:c r="D186" s="11" t="str">
        <x:v>P010</x:v>
      </x:c>
      <x:c r="E186" s="11" t="str">
        <x:v>초콜릿라떼</x:v>
      </x:c>
      <x:c r="F186" s="11" t="str">
        <x:v>음료</x:v>
      </x:c>
      <x:c r="G186" s="15" t="n">
        <x:v>2</x:v>
      </x:c>
      <x:c r="H186" s="15" t="n">
        <x:v>5500</x:v>
      </x:c>
      <x:c r="I186" s="15" t="n">
        <x:f>G186*H186</x:f>
        <x:v>11000</x:v>
      </x:c>
      <x:c r="J186" s="15" t="n">
        <x:v>0</x:v>
      </x:c>
      <x:c r="K186" s="15" t="n">
        <x:f>I186-J186</x:f>
        <x:v>11000</x:v>
      </x:c>
    </x:row>
    <x:row r="187" ht="23" customHeight="1">
      <x:c r="A187" s="4" t="str">
        <x:v>R083-L01</x:v>
      </x:c>
      <x:c r="B187" s="4" t="str">
        <x:v>R083</x:v>
      </x:c>
      <x:c r="C187" s="5" t="n">
        <x:v>1</x:v>
      </x:c>
      <x:c r="D187" s="4" t="str">
        <x:v>P001</x:v>
      </x:c>
      <x:c r="E187" s="4" t="str">
        <x:v>아이스 아메리카노</x:v>
      </x:c>
      <x:c r="F187" s="4" t="str">
        <x:v>커피</x:v>
      </x:c>
      <x:c r="G187" s="16" t="n">
        <x:v>1</x:v>
      </x:c>
      <x:c r="H187" s="16" t="n">
        <x:v>4500</x:v>
      </x:c>
      <x:c r="I187" s="16" t="n">
        <x:f>G187*H187</x:f>
        <x:v>4500</x:v>
      </x:c>
      <x:c r="J187" s="16" t="n">
        <x:v>0</x:v>
      </x:c>
      <x:c r="K187" s="16" t="n">
        <x:f>I187-J187</x:f>
        <x:v>4500</x:v>
      </x:c>
    </x:row>
    <x:row r="188" ht="23" customHeight="1">
      <x:c r="A188" s="11" t="str">
        <x:v>R083-L02</x:v>
      </x:c>
      <x:c r="B188" s="11" t="str">
        <x:v>R083</x:v>
      </x:c>
      <x:c r="C188" s="12" t="n">
        <x:v>2</x:v>
      </x:c>
      <x:c r="D188" s="11" t="str">
        <x:v>P015</x:v>
      </x:c>
      <x:c r="E188" s="11" t="str">
        <x:v>블루베리머핀</x:v>
      </x:c>
      <x:c r="F188" s="11" t="str">
        <x:v>베이커리</x:v>
      </x:c>
      <x:c r="G188" s="15" t="n">
        <x:v>1</x:v>
      </x:c>
      <x:c r="H188" s="15" t="n">
        <x:v>4200</x:v>
      </x:c>
      <x:c r="I188" s="15" t="n">
        <x:f>G188*H188</x:f>
        <x:v>4200</x:v>
      </x:c>
      <x:c r="J188" s="15" t="n">
        <x:v>0</x:v>
      </x:c>
      <x:c r="K188" s="15" t="n">
        <x:f>I188-J188</x:f>
        <x:v>4200</x:v>
      </x:c>
    </x:row>
    <x:row r="189" ht="23" customHeight="1">
      <x:c r="A189" s="4" t="str">
        <x:v>R084-L01</x:v>
      </x:c>
      <x:c r="B189" s="4" t="str">
        <x:v>R084</x:v>
      </x:c>
      <x:c r="C189" s="5" t="n">
        <x:v>1</x:v>
      </x:c>
      <x:c r="D189" s="4" t="str">
        <x:v>P001</x:v>
      </x:c>
      <x:c r="E189" s="4" t="str">
        <x:v>아이스 아메리카노</x:v>
      </x:c>
      <x:c r="F189" s="4" t="str">
        <x:v>커피</x:v>
      </x:c>
      <x:c r="G189" s="16" t="n">
        <x:v>2</x:v>
      </x:c>
      <x:c r="H189" s="16" t="n">
        <x:v>4500</x:v>
      </x:c>
      <x:c r="I189" s="16" t="n">
        <x:f>G189*H189</x:f>
        <x:v>9000</x:v>
      </x:c>
      <x:c r="J189" s="16" t="n">
        <x:v>0</x:v>
      </x:c>
      <x:c r="K189" s="16" t="n">
        <x:f>I189-J189</x:f>
        <x:v>9000</x:v>
      </x:c>
    </x:row>
    <x:row r="190" ht="23" customHeight="1">
      <x:c r="A190" s="11" t="str">
        <x:v>R085-L01</x:v>
      </x:c>
      <x:c r="B190" s="11" t="str">
        <x:v>R085</x:v>
      </x:c>
      <x:c r="C190" s="12" t="n">
        <x:v>1</x:v>
      </x:c>
      <x:c r="D190" s="11" t="str">
        <x:v>P003</x:v>
      </x:c>
      <x:c r="E190" s="11" t="str">
        <x:v>카페라떼</x:v>
      </x:c>
      <x:c r="F190" s="11" t="str">
        <x:v>커피</x:v>
      </x:c>
      <x:c r="G190" s="15" t="n">
        <x:v>1</x:v>
      </x:c>
      <x:c r="H190" s="15" t="n">
        <x:v>5000</x:v>
      </x:c>
      <x:c r="I190" s="15" t="n">
        <x:f>G190*H190</x:f>
        <x:v>5000</x:v>
      </x:c>
      <x:c r="J190" s="15" t="n">
        <x:v>0</x:v>
      </x:c>
      <x:c r="K190" s="15" t="n">
        <x:f>I190-J190</x:f>
        <x:v>5000</x:v>
      </x:c>
    </x:row>
    <x:row r="191" ht="23" customHeight="1">
      <x:c r="A191" s="4" t="str">
        <x:v>R085-L02</x:v>
      </x:c>
      <x:c r="B191" s="4" t="str">
        <x:v>R085</x:v>
      </x:c>
      <x:c r="C191" s="5" t="n">
        <x:v>2</x:v>
      </x:c>
      <x:c r="D191" s="4" t="str">
        <x:v>P004</x:v>
      </x:c>
      <x:c r="E191" s="4" t="str">
        <x:v>바닐라라떼</x:v>
      </x:c>
      <x:c r="F191" s="4" t="str">
        <x:v>커피</x:v>
      </x:c>
      <x:c r="G191" s="16" t="n">
        <x:v>1</x:v>
      </x:c>
      <x:c r="H191" s="16" t="n">
        <x:v>5500</x:v>
      </x:c>
      <x:c r="I191" s="16" t="n">
        <x:f>G191*H191</x:f>
        <x:v>5500</x:v>
      </x:c>
      <x:c r="J191" s="16" t="n">
        <x:v>0</x:v>
      </x:c>
      <x:c r="K191" s="16" t="n">
        <x:f>I191-J191</x:f>
        <x:v>5500</x:v>
      </x:c>
    </x:row>
    <x:row r="192" ht="23" customHeight="1">
      <x:c r="A192" s="11" t="str">
        <x:v>R086-L01</x:v>
      </x:c>
      <x:c r="B192" s="11" t="str">
        <x:v>R086</x:v>
      </x:c>
      <x:c r="C192" s="12" t="n">
        <x:v>1</x:v>
      </x:c>
      <x:c r="D192" s="11" t="str">
        <x:v>P011</x:v>
      </x:c>
      <x:c r="E192" s="11" t="str">
        <x:v>얼그레이티</x:v>
      </x:c>
      <x:c r="F192" s="11" t="str">
        <x:v>차</x:v>
      </x:c>
      <x:c r="G192" s="15" t="n">
        <x:v>1</x:v>
      </x:c>
      <x:c r="H192" s="15" t="n">
        <x:v>4500</x:v>
      </x:c>
      <x:c r="I192" s="15" t="n">
        <x:f>G192*H192</x:f>
        <x:v>4500</x:v>
      </x:c>
      <x:c r="J192" s="15" t="n">
        <x:v>0</x:v>
      </x:c>
      <x:c r="K192" s="15" t="n">
        <x:f>I192-J192</x:f>
        <x:v>4500</x:v>
      </x:c>
    </x:row>
    <x:row r="193" ht="23" customHeight="1">
      <x:c r="A193" s="4" t="str">
        <x:v>R086-L02</x:v>
      </x:c>
      <x:c r="B193" s="4" t="str">
        <x:v>R086</x:v>
      </x:c>
      <x:c r="C193" s="5" t="n">
        <x:v>2</x:v>
      </x:c>
      <x:c r="D193" s="4" t="str">
        <x:v>P019</x:v>
      </x:c>
      <x:c r="E193" s="4" t="str">
        <x:v>햄치즈샌드위치</x:v>
      </x:c>
      <x:c r="F193" s="4" t="str">
        <x:v>식사</x:v>
      </x:c>
      <x:c r="G193" s="16" t="n">
        <x:v>1</x:v>
      </x:c>
      <x:c r="H193" s="16" t="n">
        <x:v>7500</x:v>
      </x:c>
      <x:c r="I193" s="16" t="n">
        <x:f>G193*H193</x:f>
        <x:v>7500</x:v>
      </x:c>
      <x:c r="J193" s="16" t="n">
        <x:v>0</x:v>
      </x:c>
      <x:c r="K193" s="16" t="n">
        <x:f>I193-J193</x:f>
        <x:v>7500</x:v>
      </x:c>
    </x:row>
    <x:row r="194" ht="23" customHeight="1">
      <x:c r="A194" s="11" t="str">
        <x:v>R086-L03</x:v>
      </x:c>
      <x:c r="B194" s="11" t="str">
        <x:v>R086</x:v>
      </x:c>
      <x:c r="C194" s="12" t="n">
        <x:v>3</x:v>
      </x:c>
      <x:c r="D194" s="11" t="str">
        <x:v>P016</x:v>
      </x:c>
      <x:c r="E194" s="11" t="str">
        <x:v>치즈케이크</x:v>
      </x:c>
      <x:c r="F194" s="11" t="str">
        <x:v>디저트</x:v>
      </x:c>
      <x:c r="G194" s="15" t="n">
        <x:v>1</x:v>
      </x:c>
      <x:c r="H194" s="15" t="n">
        <x:v>6500</x:v>
      </x:c>
      <x:c r="I194" s="15" t="n">
        <x:f>G194*H194</x:f>
        <x:v>6500</x:v>
      </x:c>
      <x:c r="J194" s="15" t="n">
        <x:v>0</x:v>
      </x:c>
      <x:c r="K194" s="15" t="n">
        <x:f>I194-J194</x:f>
        <x:v>6500</x:v>
      </x:c>
    </x:row>
    <x:row r="195" ht="23" customHeight="1">
      <x:c r="A195" s="4" t="str">
        <x:v>R087-L01</x:v>
      </x:c>
      <x:c r="B195" s="4" t="str">
        <x:v>R087</x:v>
      </x:c>
      <x:c r="C195" s="5" t="n">
        <x:v>1</x:v>
      </x:c>
      <x:c r="D195" s="4" t="str">
        <x:v>P012</x:v>
      </x:c>
      <x:c r="E195" s="4" t="str">
        <x:v>캐모마일티</x:v>
      </x:c>
      <x:c r="F195" s="4" t="str">
        <x:v>차</x:v>
      </x:c>
      <x:c r="G195" s="16" t="n">
        <x:v>1</x:v>
      </x:c>
      <x:c r="H195" s="16" t="n">
        <x:v>4500</x:v>
      </x:c>
      <x:c r="I195" s="16" t="n">
        <x:f>G195*H195</x:f>
        <x:v>4500</x:v>
      </x:c>
      <x:c r="J195" s="16" t="n">
        <x:v>0</x:v>
      </x:c>
      <x:c r="K195" s="16" t="n">
        <x:f>I195-J195</x:f>
        <x:v>4500</x:v>
      </x:c>
    </x:row>
    <x:row r="196" ht="23" customHeight="1">
      <x:c r="A196" s="11" t="str">
        <x:v>R087-L02</x:v>
      </x:c>
      <x:c r="B196" s="11" t="str">
        <x:v>R087</x:v>
      </x:c>
      <x:c r="C196" s="12" t="n">
        <x:v>2</x:v>
      </x:c>
      <x:c r="D196" s="11" t="str">
        <x:v>P009</x:v>
      </x:c>
      <x:c r="E196" s="11" t="str">
        <x:v>말차라떼</x:v>
      </x:c>
      <x:c r="F196" s="11" t="str">
        <x:v>음료</x:v>
      </x:c>
      <x:c r="G196" s="15" t="n">
        <x:v>1</x:v>
      </x:c>
      <x:c r="H196" s="15" t="n">
        <x:v>5800</x:v>
      </x:c>
      <x:c r="I196" s="15" t="n">
        <x:f>G196*H196</x:f>
        <x:v>5800</x:v>
      </x:c>
      <x:c r="J196" s="15" t="n">
        <x:v>0</x:v>
      </x:c>
      <x:c r="K196" s="15" t="n">
        <x:f>I196-J196</x:f>
        <x:v>5800</x:v>
      </x:c>
    </x:row>
    <x:row r="197" ht="23" customHeight="1">
      <x:c r="A197" s="4" t="str">
        <x:v>R088-L01</x:v>
      </x:c>
      <x:c r="B197" s="4" t="str">
        <x:v>R088</x:v>
      </x:c>
      <x:c r="C197" s="5" t="n">
        <x:v>1</x:v>
      </x:c>
      <x:c r="D197" s="4" t="str">
        <x:v>P002</x:v>
      </x:c>
      <x:c r="E197" s="4" t="str">
        <x:v>따뜻한 아메리카노</x:v>
      </x:c>
      <x:c r="F197" s="4" t="str">
        <x:v>커피</x:v>
      </x:c>
      <x:c r="G197" s="16" t="n">
        <x:v>2</x:v>
      </x:c>
      <x:c r="H197" s="16" t="n">
        <x:v>4500</x:v>
      </x:c>
      <x:c r="I197" s="16" t="n">
        <x:f>G197*H197</x:f>
        <x:v>9000</x:v>
      </x:c>
      <x:c r="J197" s="16" t="n">
        <x:v>0</x:v>
      </x:c>
      <x:c r="K197" s="16" t="n">
        <x:f>I197-J197</x:f>
        <x:v>9000</x:v>
      </x:c>
    </x:row>
    <x:row r="198" ht="23" customHeight="1">
      <x:c r="A198" s="11" t="str">
        <x:v>R088-L02</x:v>
      </x:c>
      <x:c r="B198" s="11" t="str">
        <x:v>R088</x:v>
      </x:c>
      <x:c r="C198" s="12" t="n">
        <x:v>2</x:v>
      </x:c>
      <x:c r="D198" s="11" t="str">
        <x:v>P003</x:v>
      </x:c>
      <x:c r="E198" s="11" t="str">
        <x:v>카페라떼</x:v>
      </x:c>
      <x:c r="F198" s="11" t="str">
        <x:v>커피</x:v>
      </x:c>
      <x:c r="G198" s="15" t="n">
        <x:v>1</x:v>
      </x:c>
      <x:c r="H198" s="15" t="n">
        <x:v>5000</x:v>
      </x:c>
      <x:c r="I198" s="15" t="n">
        <x:f>G198*H198</x:f>
        <x:v>5000</x:v>
      </x:c>
      <x:c r="J198" s="15" t="n">
        <x:v>500</x:v>
      </x:c>
      <x:c r="K198" s="15" t="n">
        <x:f>I198-J198</x:f>
        <x:v>4500</x:v>
      </x:c>
    </x:row>
    <x:row r="199" ht="23" customHeight="1">
      <x:c r="A199" s="4" t="str">
        <x:v>R088-L03</x:v>
      </x:c>
      <x:c r="B199" s="4" t="str">
        <x:v>R088</x:v>
      </x:c>
      <x:c r="C199" s="5" t="n">
        <x:v>3</x:v>
      </x:c>
      <x:c r="D199" s="4" t="str">
        <x:v>P007</x:v>
      </x:c>
      <x:c r="E199" s="4" t="str">
        <x:v>레몬에이드</x:v>
      </x:c>
      <x:c r="F199" s="4" t="str">
        <x:v>음료</x:v>
      </x:c>
      <x:c r="G199" s="16" t="n">
        <x:v>1</x:v>
      </x:c>
      <x:c r="H199" s="16" t="n">
        <x:v>6000</x:v>
      </x:c>
      <x:c r="I199" s="16" t="n">
        <x:f>G199*H199</x:f>
        <x:v>6000</x:v>
      </x:c>
      <x:c r="J199" s="16" t="n">
        <x:v>300</x:v>
      </x:c>
      <x:c r="K199" s="16" t="n">
        <x:f>I199-J199</x:f>
        <x:v>5700</x:v>
      </x:c>
    </x:row>
    <x:row r="200" ht="23" customHeight="1">
      <x:c r="A200" s="11" t="str">
        <x:v>R088-L04</x:v>
      </x:c>
      <x:c r="B200" s="11" t="str">
        <x:v>R088</x:v>
      </x:c>
      <x:c r="C200" s="12" t="n">
        <x:v>4</x:v>
      </x:c>
      <x:c r="D200" s="11" t="str">
        <x:v>P004</x:v>
      </x:c>
      <x:c r="E200" s="11" t="str">
        <x:v>바닐라라떼</x:v>
      </x:c>
      <x:c r="F200" s="11" t="str">
        <x:v>커피</x:v>
      </x:c>
      <x:c r="G200" s="15" t="n">
        <x:v>1</x:v>
      </x:c>
      <x:c r="H200" s="15" t="n">
        <x:v>5500</x:v>
      </x:c>
      <x:c r="I200" s="15" t="n">
        <x:f>G200*H200</x:f>
        <x:v>5500</x:v>
      </x:c>
      <x:c r="J200" s="15" t="n">
        <x:v>0</x:v>
      </x:c>
      <x:c r="K200" s="15" t="n">
        <x:f>I200-J200</x:f>
        <x:v>5500</x:v>
      </x:c>
    </x:row>
    <x:row r="201" ht="23" customHeight="1">
      <x:c r="A201" s="4" t="str">
        <x:v>R089-L01</x:v>
      </x:c>
      <x:c r="B201" s="4" t="str">
        <x:v>R089</x:v>
      </x:c>
      <x:c r="C201" s="5" t="n">
        <x:v>1</x:v>
      </x:c>
      <x:c r="D201" s="4" t="str">
        <x:v>P002</x:v>
      </x:c>
      <x:c r="E201" s="4" t="str">
        <x:v>따뜻한 아메리카노</x:v>
      </x:c>
      <x:c r="F201" s="4" t="str">
        <x:v>커피</x:v>
      </x:c>
      <x:c r="G201" s="16" t="n">
        <x:v>1</x:v>
      </x:c>
      <x:c r="H201" s="16" t="n">
        <x:v>4500</x:v>
      </x:c>
      <x:c r="I201" s="16" t="n">
        <x:f>G201*H201</x:f>
        <x:v>4500</x:v>
      </x:c>
      <x:c r="J201" s="16" t="n">
        <x:v>0</x:v>
      </x:c>
      <x:c r="K201" s="16" t="n">
        <x:f>I201-J201</x:f>
        <x:v>4500</x:v>
      </x:c>
    </x:row>
    <x:row r="202" ht="23" customHeight="1">
      <x:c r="A202" s="11" t="str">
        <x:v>R089-L02</x:v>
      </x:c>
      <x:c r="B202" s="11" t="str">
        <x:v>R089</x:v>
      </x:c>
      <x:c r="C202" s="12" t="n">
        <x:v>2</x:v>
      </x:c>
      <x:c r="D202" s="11" t="str">
        <x:v>P020</x:v>
      </x:c>
      <x:c r="E202" s="11" t="str">
        <x:v>치킨샌드위치</x:v>
      </x:c>
      <x:c r="F202" s="11" t="str">
        <x:v>식사</x:v>
      </x:c>
      <x:c r="G202" s="15" t="n">
        <x:v>1</x:v>
      </x:c>
      <x:c r="H202" s="15" t="n">
        <x:v>8000</x:v>
      </x:c>
      <x:c r="I202" s="15" t="n">
        <x:f>G202*H202</x:f>
        <x:v>8000</x:v>
      </x:c>
      <x:c r="J202" s="15" t="n">
        <x:v>0</x:v>
      </x:c>
      <x:c r="K202" s="15" t="n">
        <x:f>I202-J202</x:f>
        <x:v>8000</x:v>
      </x:c>
    </x:row>
    <x:row r="203" ht="23" customHeight="1">
      <x:c r="A203" s="4" t="str">
        <x:v>R090-L01</x:v>
      </x:c>
      <x:c r="B203" s="4" t="str">
        <x:v>R090</x:v>
      </x:c>
      <x:c r="C203" s="5" t="n">
        <x:v>1</x:v>
      </x:c>
      <x:c r="D203" s="4" t="str">
        <x:v>P001</x:v>
      </x:c>
      <x:c r="E203" s="4" t="str">
        <x:v>아이스 아메리카노</x:v>
      </x:c>
      <x:c r="F203" s="4" t="str">
        <x:v>커피</x:v>
      </x:c>
      <x:c r="G203" s="16" t="n">
        <x:v>1</x:v>
      </x:c>
      <x:c r="H203" s="16" t="n">
        <x:v>4500</x:v>
      </x:c>
      <x:c r="I203" s="16" t="n">
        <x:f>G203*H203</x:f>
        <x:v>4500</x:v>
      </x:c>
      <x:c r="J203" s="16" t="n">
        <x:v>0</x:v>
      </x:c>
      <x:c r="K203" s="16" t="n">
        <x:f>I203-J203</x:f>
        <x:v>4500</x:v>
      </x:c>
    </x:row>
    <x:row r="204" ht="23" customHeight="1">
      <x:c r="A204" s="11" t="str">
        <x:v>R090-L02</x:v>
      </x:c>
      <x:c r="B204" s="11" t="str">
        <x:v>R090</x:v>
      </x:c>
      <x:c r="C204" s="12" t="n">
        <x:v>2</x:v>
      </x:c>
      <x:c r="D204" s="11" t="str">
        <x:v>P017</x:v>
      </x:c>
      <x:c r="E204" s="11" t="str">
        <x:v>초콜릿브라우니</x:v>
      </x:c>
      <x:c r="F204" s="11" t="str">
        <x:v>디저트</x:v>
      </x:c>
      <x:c r="G204" s="15" t="n">
        <x:v>1</x:v>
      </x:c>
      <x:c r="H204" s="15" t="n">
        <x:v>4800</x:v>
      </x:c>
      <x:c r="I204" s="15" t="n">
        <x:f>G204*H204</x:f>
        <x:v>4800</x:v>
      </x:c>
      <x:c r="J204" s="15" t="n">
        <x:v>0</x:v>
      </x:c>
      <x:c r="K204" s="15" t="n">
        <x:f>I204-J204</x:f>
        <x:v>4800</x:v>
      </x:c>
    </x:row>
    <x:row r="205" ht="23" customHeight="1">
      <x:c r="A205" s="4" t="str">
        <x:v>R091-L01</x:v>
      </x:c>
      <x:c r="B205" s="4" t="str">
        <x:v>R091</x:v>
      </x:c>
      <x:c r="C205" s="5" t="n">
        <x:v>1</x:v>
      </x:c>
      <x:c r="D205" s="4" t="str">
        <x:v>P009</x:v>
      </x:c>
      <x:c r="E205" s="4" t="str">
        <x:v>말차라떼</x:v>
      </x:c>
      <x:c r="F205" s="4" t="str">
        <x:v>음료</x:v>
      </x:c>
      <x:c r="G205" s="16" t="n">
        <x:v>1</x:v>
      </x:c>
      <x:c r="H205" s="16" t="n">
        <x:v>5800</x:v>
      </x:c>
      <x:c r="I205" s="16" t="n">
        <x:f>G205*H205</x:f>
        <x:v>5800</x:v>
      </x:c>
      <x:c r="J205" s="16" t="n">
        <x:v>0</x:v>
      </x:c>
      <x:c r="K205" s="16" t="n">
        <x:f>I205-J205</x:f>
        <x:v>5800</x:v>
      </x:c>
    </x:row>
    <x:row r="206" ht="23" customHeight="1">
      <x:c r="A206" s="11" t="str">
        <x:v>R091-L02</x:v>
      </x:c>
      <x:c r="B206" s="11" t="str">
        <x:v>R091</x:v>
      </x:c>
      <x:c r="C206" s="12" t="n">
        <x:v>2</x:v>
      </x:c>
      <x:c r="D206" s="11" t="str">
        <x:v>P007</x:v>
      </x:c>
      <x:c r="E206" s="11" t="str">
        <x:v>레몬에이드</x:v>
      </x:c>
      <x:c r="F206" s="11" t="str">
        <x:v>음료</x:v>
      </x:c>
      <x:c r="G206" s="15" t="n">
        <x:v>1</x:v>
      </x:c>
      <x:c r="H206" s="15" t="n">
        <x:v>6000</x:v>
      </x:c>
      <x:c r="I206" s="15" t="n">
        <x:f>G206*H206</x:f>
        <x:v>6000</x:v>
      </x:c>
      <x:c r="J206" s="15" t="n">
        <x:v>0</x:v>
      </x:c>
      <x:c r="K206" s="15" t="n">
        <x:f>I206-J206</x:f>
        <x:v>6000</x:v>
      </x:c>
    </x:row>
    <x:row r="207" ht="23" customHeight="1">
      <x:c r="A207" s="4" t="str">
        <x:v>R091-L03</x:v>
      </x:c>
      <x:c r="B207" s="4" t="str">
        <x:v>R091</x:v>
      </x:c>
      <x:c r="C207" s="5" t="n">
        <x:v>3</x:v>
      </x:c>
      <x:c r="D207" s="4" t="str">
        <x:v>P004</x:v>
      </x:c>
      <x:c r="E207" s="4" t="str">
        <x:v>바닐라라떼</x:v>
      </x:c>
      <x:c r="F207" s="4" t="str">
        <x:v>커피</x:v>
      </x:c>
      <x:c r="G207" s="16" t="n">
        <x:v>1</x:v>
      </x:c>
      <x:c r="H207" s="16" t="n">
        <x:v>5500</x:v>
      </x:c>
      <x:c r="I207" s="16" t="n">
        <x:f>G207*H207</x:f>
        <x:v>5500</x:v>
      </x:c>
      <x:c r="J207" s="16" t="n">
        <x:v>0</x:v>
      </x:c>
      <x:c r="K207" s="16" t="n">
        <x:f>I207-J207</x:f>
        <x:v>5500</x:v>
      </x:c>
    </x:row>
    <x:row r="208" ht="23" customHeight="1">
      <x:c r="A208" s="11" t="str">
        <x:v>R092-L01</x:v>
      </x:c>
      <x:c r="B208" s="11" t="str">
        <x:v>R092</x:v>
      </x:c>
      <x:c r="C208" s="12" t="n">
        <x:v>1</x:v>
      </x:c>
      <x:c r="D208" s="11" t="str">
        <x:v>P009</x:v>
      </x:c>
      <x:c r="E208" s="11" t="str">
        <x:v>말차라떼</x:v>
      </x:c>
      <x:c r="F208" s="11" t="str">
        <x:v>음료</x:v>
      </x:c>
      <x:c r="G208" s="15" t="n">
        <x:v>1</x:v>
      </x:c>
      <x:c r="H208" s="15" t="n">
        <x:v>5800</x:v>
      </x:c>
      <x:c r="I208" s="15" t="n">
        <x:f>G208*H208</x:f>
        <x:v>5800</x:v>
      </x:c>
      <x:c r="J208" s="15" t="n">
        <x:v>0</x:v>
      </x:c>
      <x:c r="K208" s="15" t="n">
        <x:f>I208-J208</x:f>
        <x:v>5800</x:v>
      </x:c>
    </x:row>
    <x:row r="209" ht="23" customHeight="1">
      <x:c r="A209" s="4" t="str">
        <x:v>R092-L02</x:v>
      </x:c>
      <x:c r="B209" s="4" t="str">
        <x:v>R092</x:v>
      </x:c>
      <x:c r="C209" s="5" t="n">
        <x:v>2</x:v>
      </x:c>
      <x:c r="D209" s="4" t="str">
        <x:v>P016</x:v>
      </x:c>
      <x:c r="E209" s="4" t="str">
        <x:v>치즈케이크</x:v>
      </x:c>
      <x:c r="F209" s="4" t="str">
        <x:v>디저트</x:v>
      </x:c>
      <x:c r="G209" s="16" t="n">
        <x:v>1</x:v>
      </x:c>
      <x:c r="H209" s="16" t="n">
        <x:v>6500</x:v>
      </x:c>
      <x:c r="I209" s="16" t="n">
        <x:f>G209*H209</x:f>
        <x:v>6500</x:v>
      </x:c>
      <x:c r="J209" s="16" t="n">
        <x:v>0</x:v>
      </x:c>
      <x:c r="K209" s="16" t="n">
        <x:f>I209-J209</x:f>
        <x:v>6500</x:v>
      </x:c>
    </x:row>
    <x:row r="210" ht="23" customHeight="1">
      <x:c r="A210" s="11" t="str">
        <x:v>R093-L01</x:v>
      </x:c>
      <x:c r="B210" s="11" t="str">
        <x:v>R093</x:v>
      </x:c>
      <x:c r="C210" s="12" t="n">
        <x:v>1</x:v>
      </x:c>
      <x:c r="D210" s="11" t="str">
        <x:v>P004</x:v>
      </x:c>
      <x:c r="E210" s="11" t="str">
        <x:v>바닐라라떼</x:v>
      </x:c>
      <x:c r="F210" s="11" t="str">
        <x:v>커피</x:v>
      </x:c>
      <x:c r="G210" s="15" t="n">
        <x:v>1</x:v>
      </x:c>
      <x:c r="H210" s="15" t="n">
        <x:v>5500</x:v>
      </x:c>
      <x:c r="I210" s="15" t="n">
        <x:f>G210*H210</x:f>
        <x:v>5500</x:v>
      </x:c>
      <x:c r="J210" s="15" t="n">
        <x:v>0</x:v>
      </x:c>
      <x:c r="K210" s="15" t="n">
        <x:f>I210-J210</x:f>
        <x:v>5500</x:v>
      </x:c>
    </x:row>
    <x:row r="211" ht="23" customHeight="1">
      <x:c r="A211" s="4" t="str">
        <x:v>R094-L01</x:v>
      </x:c>
      <x:c r="B211" s="4" t="str">
        <x:v>R094</x:v>
      </x:c>
      <x:c r="C211" s="5" t="n">
        <x:v>1</x:v>
      </x:c>
      <x:c r="D211" s="4" t="str">
        <x:v>P009</x:v>
      </x:c>
      <x:c r="E211" s="4" t="str">
        <x:v>말차라떼</x:v>
      </x:c>
      <x:c r="F211" s="4" t="str">
        <x:v>음료</x:v>
      </x:c>
      <x:c r="G211" s="16" t="n">
        <x:v>1</x:v>
      </x:c>
      <x:c r="H211" s="16" t="n">
        <x:v>5800</x:v>
      </x:c>
      <x:c r="I211" s="16" t="n">
        <x:f>G211*H211</x:f>
        <x:v>5800</x:v>
      </x:c>
      <x:c r="J211" s="16" t="n">
        <x:v>0</x:v>
      </x:c>
      <x:c r="K211" s="16" t="n">
        <x:f>I211-J211</x:f>
        <x:v>5800</x:v>
      </x:c>
    </x:row>
    <x:row r="212" ht="23" customHeight="1">
      <x:c r="A212" s="11" t="str">
        <x:v>R094-L02</x:v>
      </x:c>
      <x:c r="B212" s="11" t="str">
        <x:v>R094</x:v>
      </x:c>
      <x:c r="C212" s="12" t="n">
        <x:v>2</x:v>
      </x:c>
      <x:c r="D212" s="11" t="str">
        <x:v>P020</x:v>
      </x:c>
      <x:c r="E212" s="11" t="str">
        <x:v>치킨샌드위치</x:v>
      </x:c>
      <x:c r="F212" s="11" t="str">
        <x:v>식사</x:v>
      </x:c>
      <x:c r="G212" s="15" t="n">
        <x:v>1</x:v>
      </x:c>
      <x:c r="H212" s="15" t="n">
        <x:v>8000</x:v>
      </x:c>
      <x:c r="I212" s="15" t="n">
        <x:f>G212*H212</x:f>
        <x:v>8000</x:v>
      </x:c>
      <x:c r="J212" s="15" t="n">
        <x:v>0</x:v>
      </x:c>
      <x:c r="K212" s="15" t="n">
        <x:f>I212-J212</x:f>
        <x:v>8000</x:v>
      </x:c>
    </x:row>
    <x:row r="213" ht="23" customHeight="1">
      <x:c r="A213" s="4" t="str">
        <x:v>R094-L03</x:v>
      </x:c>
      <x:c r="B213" s="4" t="str">
        <x:v>R094</x:v>
      </x:c>
      <x:c r="C213" s="5" t="n">
        <x:v>3</x:v>
      </x:c>
      <x:c r="D213" s="4" t="str">
        <x:v>P013</x:v>
      </x:c>
      <x:c r="E213" s="4" t="str">
        <x:v>크루아상</x:v>
      </x:c>
      <x:c r="F213" s="4" t="str">
        <x:v>베이커리</x:v>
      </x:c>
      <x:c r="G213" s="16" t="n">
        <x:v>1</x:v>
      </x:c>
      <x:c r="H213" s="16" t="n">
        <x:v>4000</x:v>
      </x:c>
      <x:c r="I213" s="16" t="n">
        <x:f>G213*H213</x:f>
        <x:v>4000</x:v>
      </x:c>
      <x:c r="J213" s="16" t="n">
        <x:v>1000</x:v>
      </x:c>
      <x:c r="K213" s="16" t="n">
        <x:f>I213-J213</x:f>
        <x:v>3000</x:v>
      </x:c>
    </x:row>
    <x:row r="214" ht="23" customHeight="1">
      <x:c r="A214" s="11" t="str">
        <x:v>R095-L01</x:v>
      </x:c>
      <x:c r="B214" s="11" t="str">
        <x:v>R095</x:v>
      </x:c>
      <x:c r="C214" s="12" t="n">
        <x:v>1</x:v>
      </x:c>
      <x:c r="D214" s="11" t="str">
        <x:v>P012</x:v>
      </x:c>
      <x:c r="E214" s="11" t="str">
        <x:v>캐모마일티</x:v>
      </x:c>
      <x:c r="F214" s="11" t="str">
        <x:v>차</x:v>
      </x:c>
      <x:c r="G214" s="15" t="n">
        <x:v>1</x:v>
      </x:c>
      <x:c r="H214" s="15" t="n">
        <x:v>4500</x:v>
      </x:c>
      <x:c r="I214" s="15" t="n">
        <x:f>G214*H214</x:f>
        <x:v>4500</x:v>
      </x:c>
      <x:c r="J214" s="15" t="n">
        <x:v>0</x:v>
      </x:c>
      <x:c r="K214" s="15" t="n">
        <x:f>I214-J214</x:f>
        <x:v>4500</x:v>
      </x:c>
    </x:row>
    <x:row r="215" ht="23" customHeight="1">
      <x:c r="A215" s="4" t="str">
        <x:v>R095-L02</x:v>
      </x:c>
      <x:c r="B215" s="4" t="str">
        <x:v>R095</x:v>
      </x:c>
      <x:c r="C215" s="5" t="n">
        <x:v>2</x:v>
      </x:c>
      <x:c r="D215" s="4" t="str">
        <x:v>P009</x:v>
      </x:c>
      <x:c r="E215" s="4" t="str">
        <x:v>말차라떼</x:v>
      </x:c>
      <x:c r="F215" s="4" t="str">
        <x:v>음료</x:v>
      </x:c>
      <x:c r="G215" s="16" t="n">
        <x:v>1</x:v>
      </x:c>
      <x:c r="H215" s="16" t="n">
        <x:v>5800</x:v>
      </x:c>
      <x:c r="I215" s="16" t="n">
        <x:f>G215*H215</x:f>
        <x:v>5800</x:v>
      </x:c>
      <x:c r="J215" s="16" t="n">
        <x:v>0</x:v>
      </x:c>
      <x:c r="K215" s="16" t="n">
        <x:f>I215-J215</x:f>
        <x:v>5800</x:v>
      </x:c>
    </x:row>
    <x:row r="216" ht="23" customHeight="1">
      <x:c r="A216" s="11" t="str">
        <x:v>R096-L01</x:v>
      </x:c>
      <x:c r="B216" s="11" t="str">
        <x:v>R096</x:v>
      </x:c>
      <x:c r="C216" s="12" t="n">
        <x:v>1</x:v>
      </x:c>
      <x:c r="D216" s="11" t="str">
        <x:v>P002</x:v>
      </x:c>
      <x:c r="E216" s="11" t="str">
        <x:v>따뜻한 아메리카노</x:v>
      </x:c>
      <x:c r="F216" s="11" t="str">
        <x:v>커피</x:v>
      </x:c>
      <x:c r="G216" s="15" t="n">
        <x:v>1</x:v>
      </x:c>
      <x:c r="H216" s="15" t="n">
        <x:v>4500</x:v>
      </x:c>
      <x:c r="I216" s="15" t="n">
        <x:f>G216*H216</x:f>
        <x:v>4500</x:v>
      </x:c>
      <x:c r="J216" s="15" t="n">
        <x:v>0</x:v>
      </x:c>
      <x:c r="K216" s="15" t="n">
        <x:f>I216-J216</x:f>
        <x:v>4500</x:v>
      </x:c>
    </x:row>
    <x:row r="217" ht="23" customHeight="1">
      <x:c r="A217" s="4" t="str">
        <x:v>R096-L02</x:v>
      </x:c>
      <x:c r="B217" s="4" t="str">
        <x:v>R096</x:v>
      </x:c>
      <x:c r="C217" s="5" t="n">
        <x:v>2</x:v>
      </x:c>
      <x:c r="D217" s="4" t="str">
        <x:v>P017</x:v>
      </x:c>
      <x:c r="E217" s="4" t="str">
        <x:v>초콜릿브라우니</x:v>
      </x:c>
      <x:c r="F217" s="4" t="str">
        <x:v>디저트</x:v>
      </x:c>
      <x:c r="G217" s="16" t="n">
        <x:v>1</x:v>
      </x:c>
      <x:c r="H217" s="16" t="n">
        <x:v>4800</x:v>
      </x:c>
      <x:c r="I217" s="16" t="n">
        <x:f>G217*H217</x:f>
        <x:v>4800</x:v>
      </x:c>
      <x:c r="J217" s="16" t="n">
        <x:v>0</x:v>
      </x:c>
      <x:c r="K217" s="16" t="n">
        <x:f>I217-J217</x:f>
        <x:v>4800</x:v>
      </x:c>
    </x:row>
    <x:row r="218" ht="23" customHeight="1">
      <x:c r="A218" s="11" t="str">
        <x:v>R097-L01</x:v>
      </x:c>
      <x:c r="B218" s="11" t="str">
        <x:v>R097</x:v>
      </x:c>
      <x:c r="C218" s="12" t="n">
        <x:v>1</x:v>
      </x:c>
      <x:c r="D218" s="11" t="str">
        <x:v>P009</x:v>
      </x:c>
      <x:c r="E218" s="11" t="str">
        <x:v>말차라떼</x:v>
      </x:c>
      <x:c r="F218" s="11" t="str">
        <x:v>음료</x:v>
      </x:c>
      <x:c r="G218" s="15" t="n">
        <x:v>1</x:v>
      </x:c>
      <x:c r="H218" s="15" t="n">
        <x:v>5800</x:v>
      </x:c>
      <x:c r="I218" s="15" t="n">
        <x:f>G218*H218</x:f>
        <x:v>5800</x:v>
      </x:c>
      <x:c r="J218" s="15" t="n">
        <x:v>0</x:v>
      </x:c>
      <x:c r="K218" s="15" t="n">
        <x:f>I218-J218</x:f>
        <x:v>5800</x:v>
      </x:c>
    </x:row>
    <x:row r="219" ht="23" customHeight="1">
      <x:c r="A219" s="4" t="str">
        <x:v>R097-L02</x:v>
      </x:c>
      <x:c r="B219" s="4" t="str">
        <x:v>R097</x:v>
      </x:c>
      <x:c r="C219" s="5" t="n">
        <x:v>2</x:v>
      </x:c>
      <x:c r="D219" s="4" t="str">
        <x:v>P018</x:v>
      </x:c>
      <x:c r="E219" s="4" t="str">
        <x:v>마카롱</x:v>
      </x:c>
      <x:c r="F219" s="4" t="str">
        <x:v>디저트</x:v>
      </x:c>
      <x:c r="G219" s="16" t="n">
        <x:v>1</x:v>
      </x:c>
      <x:c r="H219" s="16" t="n">
        <x:v>2800</x:v>
      </x:c>
      <x:c r="I219" s="16" t="n">
        <x:f>G219*H219</x:f>
        <x:v>2800</x:v>
      </x:c>
      <x:c r="J219" s="16" t="n">
        <x:v>0</x:v>
      </x:c>
      <x:c r="K219" s="16" t="n">
        <x:f>I219-J219</x:f>
        <x:v>2800</x:v>
      </x:c>
    </x:row>
    <x:row r="220" ht="23" customHeight="1">
      <x:c r="A220" s="11" t="str">
        <x:v>R098-L01</x:v>
      </x:c>
      <x:c r="B220" s="11" t="str">
        <x:v>R098</x:v>
      </x:c>
      <x:c r="C220" s="12" t="n">
        <x:v>1</x:v>
      </x:c>
      <x:c r="D220" s="11" t="str">
        <x:v>P003</x:v>
      </x:c>
      <x:c r="E220" s="11" t="str">
        <x:v>카페라떼</x:v>
      </x:c>
      <x:c r="F220" s="11" t="str">
        <x:v>커피</x:v>
      </x:c>
      <x:c r="G220" s="15" t="n">
        <x:v>1</x:v>
      </x:c>
      <x:c r="H220" s="15" t="n">
        <x:v>5000</x:v>
      </x:c>
      <x:c r="I220" s="15" t="n">
        <x:f>G220*H220</x:f>
        <x:v>5000</x:v>
      </x:c>
      <x:c r="J220" s="15" t="n">
        <x:v>0</x:v>
      </x:c>
      <x:c r="K220" s="15" t="n">
        <x:f>I220-J220</x:f>
        <x:v>5000</x:v>
      </x:c>
    </x:row>
    <x:row r="221" ht="23" customHeight="1">
      <x:c r="A221" s="4" t="str">
        <x:v>R098-L02</x:v>
      </x:c>
      <x:c r="B221" s="4" t="str">
        <x:v>R098</x:v>
      </x:c>
      <x:c r="C221" s="5" t="n">
        <x:v>2</x:v>
      </x:c>
      <x:c r="D221" s="4" t="str">
        <x:v>P018</x:v>
      </x:c>
      <x:c r="E221" s="4" t="str">
        <x:v>마카롱</x:v>
      </x:c>
      <x:c r="F221" s="4" t="str">
        <x:v>디저트</x:v>
      </x:c>
      <x:c r="G221" s="16" t="n">
        <x:v>2</x:v>
      </x:c>
      <x:c r="H221" s="16" t="n">
        <x:v>2800</x:v>
      </x:c>
      <x:c r="I221" s="16" t="n">
        <x:f>G221*H221</x:f>
        <x:v>5600</x:v>
      </x:c>
      <x:c r="J221" s="16" t="n">
        <x:v>0</x:v>
      </x:c>
      <x:c r="K221" s="16" t="n">
        <x:f>I221-J221</x:f>
        <x:v>5600</x:v>
      </x:c>
    </x:row>
    <x:row r="222" ht="23" customHeight="1">
      <x:c r="A222" s="11" t="str">
        <x:v>R099-L01</x:v>
      </x:c>
      <x:c r="B222" s="11" t="str">
        <x:v>R099</x:v>
      </x:c>
      <x:c r="C222" s="12" t="n">
        <x:v>1</x:v>
      </x:c>
      <x:c r="D222" s="11" t="str">
        <x:v>P007</x:v>
      </x:c>
      <x:c r="E222" s="11" t="str">
        <x:v>레몬에이드</x:v>
      </x:c>
      <x:c r="F222" s="11" t="str">
        <x:v>음료</x:v>
      </x:c>
      <x:c r="G222" s="15" t="n">
        <x:v>2</x:v>
      </x:c>
      <x:c r="H222" s="15" t="n">
        <x:v>6000</x:v>
      </x:c>
      <x:c r="I222" s="15" t="n">
        <x:f>G222*H222</x:f>
        <x:v>12000</x:v>
      </x:c>
      <x:c r="J222" s="15" t="n">
        <x:v>0</x:v>
      </x:c>
      <x:c r="K222" s="15" t="n">
        <x:f>I222-J222</x:f>
        <x:v>12000</x:v>
      </x:c>
    </x:row>
    <x:row r="223" ht="23" customHeight="1">
      <x:c r="A223" s="4" t="str">
        <x:v>R099-L02</x:v>
      </x:c>
      <x:c r="B223" s="4" t="str">
        <x:v>R099</x:v>
      </x:c>
      <x:c r="C223" s="5" t="n">
        <x:v>2</x:v>
      </x:c>
      <x:c r="D223" s="4" t="str">
        <x:v>P016</x:v>
      </x:c>
      <x:c r="E223" s="4" t="str">
        <x:v>치즈케이크</x:v>
      </x:c>
      <x:c r="F223" s="4" t="str">
        <x:v>디저트</x:v>
      </x:c>
      <x:c r="G223" s="16" t="n">
        <x:v>1</x:v>
      </x:c>
      <x:c r="H223" s="16" t="n">
        <x:v>6500</x:v>
      </x:c>
      <x:c r="I223" s="16" t="n">
        <x:f>G223*H223</x:f>
        <x:v>6500</x:v>
      </x:c>
      <x:c r="J223" s="16" t="n">
        <x:v>500</x:v>
      </x:c>
      <x:c r="K223" s="16" t="n">
        <x:f>I223-J223</x:f>
        <x:v>6000</x:v>
      </x:c>
    </x:row>
    <x:row r="224" ht="23" customHeight="1">
      <x:c r="A224" s="11" t="str">
        <x:v>R100-L01</x:v>
      </x:c>
      <x:c r="B224" s="11" t="str">
        <x:v>R100</x:v>
      </x:c>
      <x:c r="C224" s="12" t="n">
        <x:v>1</x:v>
      </x:c>
      <x:c r="D224" s="11" t="str">
        <x:v>P003</x:v>
      </x:c>
      <x:c r="E224" s="11" t="str">
        <x:v>카페라떼</x:v>
      </x:c>
      <x:c r="F224" s="11" t="str">
        <x:v>커피</x:v>
      </x:c>
      <x:c r="G224" s="15" t="n">
        <x:v>1</x:v>
      </x:c>
      <x:c r="H224" s="15" t="n">
        <x:v>5000</x:v>
      </x:c>
      <x:c r="I224" s="15" t="n">
        <x:f>G224*H224</x:f>
        <x:v>5000</x:v>
      </x:c>
      <x:c r="J224" s="15" t="n">
        <x:v>0</x:v>
      </x:c>
      <x:c r="K224" s="15" t="n">
        <x:f>I224-J224</x:f>
        <x:v>5000</x:v>
      </x:c>
    </x:row>
    <x:row r="225" ht="23" customHeight="1">
      <x:c r="A225" s="4" t="str">
        <x:v>R100-L02</x:v>
      </x:c>
      <x:c r="B225" s="4" t="str">
        <x:v>R100</x:v>
      </x:c>
      <x:c r="C225" s="5" t="n">
        <x:v>2</x:v>
      </x:c>
      <x:c r="D225" s="4" t="str">
        <x:v>P004</x:v>
      </x:c>
      <x:c r="E225" s="4" t="str">
        <x:v>바닐라라떼</x:v>
      </x:c>
      <x:c r="F225" s="4" t="str">
        <x:v>커피</x:v>
      </x:c>
      <x:c r="G225" s="16" t="n">
        <x:v>2</x:v>
      </x:c>
      <x:c r="H225" s="16" t="n">
        <x:v>5500</x:v>
      </x:c>
      <x:c r="I225" s="16" t="n">
        <x:f>G225*H225</x:f>
        <x:v>11000</x:v>
      </x:c>
      <x:c r="J225" s="16" t="n">
        <x:v>1000</x:v>
      </x:c>
      <x:c r="K225" s="16" t="n">
        <x:f>I225-J225</x:f>
        <x:v>10000</x:v>
      </x:c>
    </x:row>
  </x:sheetData>
  <x:pageMargins left="0.7" right="0.7" top="0.75" bottom="0.75" header="0.3" footer="0.3"/>
  <x:tableParts count="1">
    <x:tablePart xmlns:r="http://schemas.openxmlformats.org/officeDocument/2006/relationships" r:id="R7c3e0539bac24f88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29" hidden="0" customWidth="1"/>
    <x:col min="3" max="3" width="18" hidden="0" customWidth="1"/>
    <x:col min="4" max="4" width="18" hidden="0" customWidth="1"/>
    <x:col min="5" max="5" width="35" hidden="0" customWidth="1"/>
    <x:col min="6" max="6" width="28" hidden="0" customWidth="1"/>
  </x:cols>
  <x:sheetData>
    <x:row r="1">
      <x:c r="A1" s="1"/>
      <x:c r="B1" s="1"/>
      <x:c r="C1" s="1"/>
      <x:c r="D1" s="1"/>
      <x:c r="E1" s="1"/>
      <x:c r="F1" s="1"/>
    </x:row>
    <x:row r="2">
      <x:c r="A2" s="2" t="str">
        <x:v>상품 마스터 · 20종</x:v>
      </x:c>
      <x:c r="B2" s="1"/>
      <x:c r="C2" s="1"/>
      <x:c r="D2" s="1"/>
      <x:c r="E2" s="1"/>
      <x:c r="F2" s="1"/>
    </x:row>
    <x:row r="3">
      <x:c r="A3" s="3" t="str">
        <x:v>모든 상품과 가격은 과제용 설정입니다.</x:v>
      </x:c>
      <x:c r="B3" s="1"/>
      <x:c r="C3" s="1"/>
      <x:c r="D3" s="1"/>
      <x:c r="E3" s="1"/>
      <x:c r="F3" s="1"/>
    </x:row>
    <x:row r="4">
      <x:c r="A4" s="1"/>
      <x:c r="B4" s="1"/>
      <x:c r="C4" s="1"/>
      <x:c r="D4" s="1"/>
      <x:c r="E4" s="1"/>
      <x:c r="F4" s="1"/>
    </x:row>
    <x:row r="5" ht="33" customHeight="1">
      <x:c r="A5" s="10" t="str">
        <x:v>product_id</x:v>
      </x:c>
      <x:c r="B5" s="10" t="str">
        <x:v>상품명</x:v>
      </x:c>
      <x:c r="C5" s="10" t="str">
        <x:v>카테고리</x:v>
      </x:c>
      <x:c r="D5" s="10" t="str">
        <x:v>단가(KRW)</x:v>
      </x:c>
      <x:c r="E5" s="10" t="str">
        <x:v>영문 별칭</x:v>
      </x:c>
      <x:c r="F5" s="10" t="str">
        <x:v>기타 별칭</x:v>
      </x:c>
    </x:row>
    <x:row r="6" ht="23" customHeight="1">
      <x:c r="A6" s="11" t="str">
        <x:v>P001</x:v>
      </x:c>
      <x:c r="B6" s="11" t="str">
        <x:v>아이스 아메리카노</x:v>
      </x:c>
      <x:c r="C6" s="11" t="str">
        <x:v>커피</x:v>
      </x:c>
      <x:c r="D6" s="15" t="n">
        <x:v>4500</x:v>
      </x:c>
      <x:c r="E6" s="11" t="str">
        <x:v>ICE AMERICANO</x:v>
      </x:c>
      <x:c r="F6" s="11" t="str">
        <x:v>아이스아메리카노</x:v>
      </x:c>
    </x:row>
    <x:row r="7" ht="23" customHeight="1">
      <x:c r="A7" s="4" t="str">
        <x:v>P002</x:v>
      </x:c>
      <x:c r="B7" s="4" t="str">
        <x:v>따뜻한 아메리카노</x:v>
      </x:c>
      <x:c r="C7" s="4" t="str">
        <x:v>커피</x:v>
      </x:c>
      <x:c r="D7" s="16" t="n">
        <x:v>4500</x:v>
      </x:c>
      <x:c r="E7" s="4" t="str">
        <x:v>HOT AMERICANO</x:v>
      </x:c>
      <x:c r="F7" s="4" t="str">
        <x:v>핫 아메리카노</x:v>
      </x:c>
    </x:row>
    <x:row r="8" ht="23" customHeight="1">
      <x:c r="A8" s="11" t="str">
        <x:v>P003</x:v>
      </x:c>
      <x:c r="B8" s="11" t="str">
        <x:v>카페라떼</x:v>
      </x:c>
      <x:c r="C8" s="11" t="str">
        <x:v>커피</x:v>
      </x:c>
      <x:c r="D8" s="15" t="n">
        <x:v>5000</x:v>
      </x:c>
      <x:c r="E8" s="11" t="str">
        <x:v>CAFE LATTE</x:v>
      </x:c>
      <x:c r="F8" s="11" t="str">
        <x:v>카페 라떼</x:v>
      </x:c>
    </x:row>
    <x:row r="9" ht="23" customHeight="1">
      <x:c r="A9" s="4" t="str">
        <x:v>P004</x:v>
      </x:c>
      <x:c r="B9" s="4" t="str">
        <x:v>바닐라라떼</x:v>
      </x:c>
      <x:c r="C9" s="4" t="str">
        <x:v>커피</x:v>
      </x:c>
      <x:c r="D9" s="16" t="n">
        <x:v>5500</x:v>
      </x:c>
      <x:c r="E9" s="4" t="str">
        <x:v>VANILLA LATTE</x:v>
      </x:c>
      <x:c r="F9" s="4" t="str">
        <x:v>바닐라 라떼</x:v>
      </x:c>
    </x:row>
    <x:row r="10" ht="23" customHeight="1">
      <x:c r="A10" s="11" t="str">
        <x:v>P005</x:v>
      </x:c>
      <x:c r="B10" s="11" t="str">
        <x:v>카푸치노</x:v>
      </x:c>
      <x:c r="C10" s="11" t="str">
        <x:v>커피</x:v>
      </x:c>
      <x:c r="D10" s="15" t="n">
        <x:v>5000</x:v>
      </x:c>
      <x:c r="E10" s="11" t="str">
        <x:v>CAPPUCCINO</x:v>
      </x:c>
      <x:c r="F10" s="11" t="str">
        <x:v>카푸 치노</x:v>
      </x:c>
    </x:row>
    <x:row r="11" ht="23" customHeight="1">
      <x:c r="A11" s="4" t="str">
        <x:v>P006</x:v>
      </x:c>
      <x:c r="B11" s="4" t="str">
        <x:v>콜드브루</x:v>
      </x:c>
      <x:c r="C11" s="4" t="str">
        <x:v>커피</x:v>
      </x:c>
      <x:c r="D11" s="16" t="n">
        <x:v>5500</x:v>
      </x:c>
      <x:c r="E11" s="4" t="str">
        <x:v>COLD BREW</x:v>
      </x:c>
      <x:c r="F11" s="4" t="str">
        <x:v>콜드 브루</x:v>
      </x:c>
    </x:row>
    <x:row r="12" ht="23" customHeight="1">
      <x:c r="A12" s="11" t="str">
        <x:v>P007</x:v>
      </x:c>
      <x:c r="B12" s="11" t="str">
        <x:v>레몬에이드</x:v>
      </x:c>
      <x:c r="C12" s="11" t="str">
        <x:v>음료</x:v>
      </x:c>
      <x:c r="D12" s="15" t="n">
        <x:v>6000</x:v>
      </x:c>
      <x:c r="E12" s="11" t="str">
        <x:v>LEMON ADE</x:v>
      </x:c>
      <x:c r="F12" s="11" t="str">
        <x:v>레몬 에이드</x:v>
      </x:c>
    </x:row>
    <x:row r="13" ht="23" customHeight="1">
      <x:c r="A13" s="4" t="str">
        <x:v>P008</x:v>
      </x:c>
      <x:c r="B13" s="4" t="str">
        <x:v>자몽에이드</x:v>
      </x:c>
      <x:c r="C13" s="4" t="str">
        <x:v>음료</x:v>
      </x:c>
      <x:c r="D13" s="16" t="n">
        <x:v>6000</x:v>
      </x:c>
      <x:c r="E13" s="4" t="str">
        <x:v>GRAPEFRUIT ADE</x:v>
      </x:c>
      <x:c r="F13" s="4" t="str">
        <x:v>자몽 에이드</x:v>
      </x:c>
    </x:row>
    <x:row r="14" ht="23" customHeight="1">
      <x:c r="A14" s="11" t="str">
        <x:v>P009</x:v>
      </x:c>
      <x:c r="B14" s="11" t="str">
        <x:v>말차라떼</x:v>
      </x:c>
      <x:c r="C14" s="11" t="str">
        <x:v>음료</x:v>
      </x:c>
      <x:c r="D14" s="15" t="n">
        <x:v>5800</x:v>
      </x:c>
      <x:c r="E14" s="11" t="str">
        <x:v>MATCHA LATTE</x:v>
      </x:c>
      <x:c r="F14" s="11" t="str">
        <x:v>말차 라떼</x:v>
      </x:c>
    </x:row>
    <x:row r="15" ht="23" customHeight="1">
      <x:c r="A15" s="4" t="str">
        <x:v>P010</x:v>
      </x:c>
      <x:c r="B15" s="4" t="str">
        <x:v>초콜릿라떼</x:v>
      </x:c>
      <x:c r="C15" s="4" t="str">
        <x:v>음료</x:v>
      </x:c>
      <x:c r="D15" s="16" t="n">
        <x:v>5500</x:v>
      </x:c>
      <x:c r="E15" s="4" t="str">
        <x:v>CHOCOLATE LATTE</x:v>
      </x:c>
      <x:c r="F15" s="4" t="str">
        <x:v>초콜릿 라떼</x:v>
      </x:c>
    </x:row>
    <x:row r="16" ht="23" customHeight="1">
      <x:c r="A16" s="11" t="str">
        <x:v>P011</x:v>
      </x:c>
      <x:c r="B16" s="11" t="str">
        <x:v>얼그레이티</x:v>
      </x:c>
      <x:c r="C16" s="11" t="str">
        <x:v>차</x:v>
      </x:c>
      <x:c r="D16" s="15" t="n">
        <x:v>4500</x:v>
      </x:c>
      <x:c r="E16" s="11" t="str">
        <x:v>EARL GREY TEA</x:v>
      </x:c>
      <x:c r="F16" s="11" t="str">
        <x:v>얼그레이 티</x:v>
      </x:c>
    </x:row>
    <x:row r="17" ht="23" customHeight="1">
      <x:c r="A17" s="4" t="str">
        <x:v>P012</x:v>
      </x:c>
      <x:c r="B17" s="4" t="str">
        <x:v>캐모마일티</x:v>
      </x:c>
      <x:c r="C17" s="4" t="str">
        <x:v>차</x:v>
      </x:c>
      <x:c r="D17" s="16" t="n">
        <x:v>4500</x:v>
      </x:c>
      <x:c r="E17" s="4" t="str">
        <x:v>CHAMOMILE TEA</x:v>
      </x:c>
      <x:c r="F17" s="4" t="str">
        <x:v>캐모마일 티</x:v>
      </x:c>
    </x:row>
    <x:row r="18" ht="23" customHeight="1">
      <x:c r="A18" s="11" t="str">
        <x:v>P013</x:v>
      </x:c>
      <x:c r="B18" s="11" t="str">
        <x:v>크루아상</x:v>
      </x:c>
      <x:c r="C18" s="11" t="str">
        <x:v>베이커리</x:v>
      </x:c>
      <x:c r="D18" s="15" t="n">
        <x:v>4000</x:v>
      </x:c>
      <x:c r="E18" s="11" t="str">
        <x:v>CROISSANT</x:v>
      </x:c>
      <x:c r="F18" s="11" t="str">
        <x:v>버터 크루아상</x:v>
      </x:c>
    </x:row>
    <x:row r="19" ht="23" customHeight="1">
      <x:c r="A19" s="4" t="str">
        <x:v>P014</x:v>
      </x:c>
      <x:c r="B19" s="4" t="str">
        <x:v>소금빵</x:v>
      </x:c>
      <x:c r="C19" s="4" t="str">
        <x:v>베이커리</x:v>
      </x:c>
      <x:c r="D19" s="16" t="n">
        <x:v>3500</x:v>
      </x:c>
      <x:c r="E19" s="4" t="str">
        <x:v>SALT BREAD</x:v>
      </x:c>
      <x:c r="F19" s="4" t="str">
        <x:v>소금 빵</x:v>
      </x:c>
    </x:row>
    <x:row r="20" ht="23" customHeight="1">
      <x:c r="A20" s="11" t="str">
        <x:v>P015</x:v>
      </x:c>
      <x:c r="B20" s="11" t="str">
        <x:v>블루베리머핀</x:v>
      </x:c>
      <x:c r="C20" s="11" t="str">
        <x:v>베이커리</x:v>
      </x:c>
      <x:c r="D20" s="15" t="n">
        <x:v>4200</x:v>
      </x:c>
      <x:c r="E20" s="11" t="str">
        <x:v>BLUEBERRY MUFFIN</x:v>
      </x:c>
      <x:c r="F20" s="11" t="str">
        <x:v>블루베리 머핀</x:v>
      </x:c>
    </x:row>
    <x:row r="21" ht="23" customHeight="1">
      <x:c r="A21" s="4" t="str">
        <x:v>P016</x:v>
      </x:c>
      <x:c r="B21" s="4" t="str">
        <x:v>치즈케이크</x:v>
      </x:c>
      <x:c r="C21" s="4" t="str">
        <x:v>디저트</x:v>
      </x:c>
      <x:c r="D21" s="16" t="n">
        <x:v>6500</x:v>
      </x:c>
      <x:c r="E21" s="4" t="str">
        <x:v>CHEESECAKE</x:v>
      </x:c>
      <x:c r="F21" s="4" t="str">
        <x:v>치즈 케이크</x:v>
      </x:c>
    </x:row>
    <x:row r="22" ht="23" customHeight="1">
      <x:c r="A22" s="11" t="str">
        <x:v>P017</x:v>
      </x:c>
      <x:c r="B22" s="11" t="str">
        <x:v>초콜릿브라우니</x:v>
      </x:c>
      <x:c r="C22" s="11" t="str">
        <x:v>디저트</x:v>
      </x:c>
      <x:c r="D22" s="15" t="n">
        <x:v>4800</x:v>
      </x:c>
      <x:c r="E22" s="11" t="str">
        <x:v>CHOCOLATE BROWNIE</x:v>
      </x:c>
      <x:c r="F22" s="11" t="str">
        <x:v>초콜릿 브라우니</x:v>
      </x:c>
    </x:row>
    <x:row r="23" ht="23" customHeight="1">
      <x:c r="A23" s="4" t="str">
        <x:v>P018</x:v>
      </x:c>
      <x:c r="B23" s="4" t="str">
        <x:v>마카롱</x:v>
      </x:c>
      <x:c r="C23" s="4" t="str">
        <x:v>디저트</x:v>
      </x:c>
      <x:c r="D23" s="16" t="n">
        <x:v>2800</x:v>
      </x:c>
      <x:c r="E23" s="4" t="str">
        <x:v>MACARON</x:v>
      </x:c>
      <x:c r="F23" s="4" t="str">
        <x:v>수제 마카롱</x:v>
      </x:c>
    </x:row>
    <x:row r="24" ht="23" customHeight="1">
      <x:c r="A24" s="11" t="str">
        <x:v>P019</x:v>
      </x:c>
      <x:c r="B24" s="11" t="str">
        <x:v>햄치즈샌드위치</x:v>
      </x:c>
      <x:c r="C24" s="11" t="str">
        <x:v>식사</x:v>
      </x:c>
      <x:c r="D24" s="15" t="n">
        <x:v>7500</x:v>
      </x:c>
      <x:c r="E24" s="11" t="str">
        <x:v>HAM CHEESE SANDWICH</x:v>
      </x:c>
      <x:c r="F24" s="11" t="str">
        <x:v>햄치즈 샌드위치</x:v>
      </x:c>
    </x:row>
    <x:row r="25" ht="23" customHeight="1">
      <x:c r="A25" s="4" t="str">
        <x:v>P020</x:v>
      </x:c>
      <x:c r="B25" s="4" t="str">
        <x:v>치킨샌드위치</x:v>
      </x:c>
      <x:c r="C25" s="4" t="str">
        <x:v>식사</x:v>
      </x:c>
      <x:c r="D25" s="16" t="n">
        <x:v>8000</x:v>
      </x:c>
      <x:c r="E25" s="4" t="str">
        <x:v>CHICKEN SANDWICH</x:v>
      </x:c>
      <x:c r="F25" s="4" t="str">
        <x:v>치킨 샌드위치</x:v>
      </x:c>
    </x:row>
  </x:sheetData>
  <x:pageMargins left="0.7" right="0.7" top="0.75" bottom="0.75" header="0.3" footer="0.3"/>
  <x:tableParts count="1">
    <x:tablePart xmlns:r="http://schemas.openxmlformats.org/officeDocument/2006/relationships" r:id="R549fb5f682884f4d"/>
  </x:tableParts>
</x:worksheet>
</file>